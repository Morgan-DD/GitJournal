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66hua\Documents\GitHub\GitJournal\JDT\"/>
    </mc:Choice>
  </mc:AlternateContent>
  <xr:revisionPtr revIDLastSave="0" documentId="13_ncr:1_{5F2DBF6B-2EC8-4A3D-A3C0-3294A15E5605}" xr6:coauthVersionLast="47" xr6:coauthVersionMax="47" xr10:uidLastSave="{00000000-0000-0000-0000-000000000000}"/>
  <bookViews>
    <workbookView xWindow="-120" yWindow="-120" windowWidth="29040" windowHeight="15840" xr2:uid="{EA9A3094-8432-4C0E-AB08-4A26D87496F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6" i="1"/>
  <c r="I17" i="1"/>
  <c r="H7" i="1"/>
  <c r="H6" i="1"/>
  <c r="D16" i="1"/>
  <c r="G16" i="1" l="1"/>
  <c r="G17" i="1"/>
  <c r="E17" i="1"/>
  <c r="F17" i="1"/>
  <c r="F16" i="1"/>
  <c r="E16" i="1"/>
  <c r="D17" i="1"/>
</calcChain>
</file>

<file path=xl/sharedStrings.xml><?xml version="1.0" encoding="utf-8"?>
<sst xmlns="http://schemas.openxmlformats.org/spreadsheetml/2006/main" count="13" uniqueCount="8">
  <si>
    <t xml:space="preserve">Analyse </t>
  </si>
  <si>
    <t>Réalisation</t>
  </si>
  <si>
    <t>Test</t>
  </si>
  <si>
    <t>Documentation</t>
  </si>
  <si>
    <t>Planifiées</t>
  </si>
  <si>
    <t>Réalisées</t>
  </si>
  <si>
    <t>CDC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</si>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</sst>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Heures réalisées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Feuil1!$C$15</c:f>
              <c:strCache>
                <c:ptCount val="1"/>
                <c:pt idx="0">
                  <c:v>CDC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Feuil1!$D$14:$G$14</c:f>
              <c:strCache>
                <c:ptCount val="4"/>
                <c:pt idx="0">
                  <c:v>Analyse </c:v>
                </c:pt>
                <c:pt idx="1">
                  <c:v>Implementation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Feuil1!$D$15:$G$15</c:f>
              <c:numCache>
                <c:formatCode>0.00%</c:formatCode>
                <c:ptCount val="4"/>
                <c:pt idx="0">
                  <c:v>0.3</c:v>
                </c:pt>
                <c:pt idx="1">
                  <c:v>0.4</c:v>
                </c:pt>
                <c:pt idx="2">
                  <c:v>0.15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0-4BB3-B01E-A38809F7269E}"/>
            </c:ext>
          </c:extLst>
        </c:ser>
        <c:ser>
          <c:idx val="1"/>
          <c:order val="1"/>
          <c:tx>
            <c:strRef>
              <c:f>Feuil1!$C$16</c:f>
              <c:strCache>
                <c:ptCount val="1"/>
                <c:pt idx="0">
                  <c:v>Planifiées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Feuil1!$D$14:$G$14</c:f>
              <c:strCache>
                <c:ptCount val="4"/>
                <c:pt idx="0">
                  <c:v>Analyse </c:v>
                </c:pt>
                <c:pt idx="1">
                  <c:v>Implementation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Feuil1!$D$16:$G$16</c:f>
              <c:numCache>
                <c:formatCode>0.00%</c:formatCode>
                <c:ptCount val="4"/>
                <c:pt idx="0">
                  <c:v>7.9545454545454544E-2</c:v>
                </c:pt>
                <c:pt idx="1">
                  <c:v>0.69318181818181823</c:v>
                </c:pt>
                <c:pt idx="2">
                  <c:v>2.2727272727272728E-2</c:v>
                </c:pt>
                <c:pt idx="3">
                  <c:v>0.20454545454545456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80-4BB3-B01E-A38809F7269E}"/>
            </c:ext>
          </c:extLst>
        </c:ser>
        <c:ser>
          <c:idx val="2"/>
          <c:order val="2"/>
          <c:tx>
            <c:strRef>
              <c:f>Feuil1!$C$17</c:f>
              <c:strCache>
                <c:ptCount val="1"/>
                <c:pt idx="0">
                  <c:v>Réalisées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Feuil1!$D$14:$G$14</c:f>
              <c:strCache>
                <c:ptCount val="4"/>
                <c:pt idx="0">
                  <c:v>Analyse </c:v>
                </c:pt>
                <c:pt idx="1">
                  <c:v>Implementation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Feuil1!$D$17:$G$17</c:f>
              <c:numCache>
                <c:formatCode>0.00%</c:formatCode>
                <c:ptCount val="4"/>
                <c:pt idx="0">
                  <c:v>0.17386363636363636</c:v>
                </c:pt>
                <c:pt idx="1">
                  <c:v>0.42272727272727278</c:v>
                </c:pt>
                <c:pt idx="2">
                  <c:v>7.9545454545454544E-2</c:v>
                </c:pt>
                <c:pt idx="3">
                  <c:v>0.32386363636363635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80-4BB3-B01E-A38809F72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893568"/>
        <c:axId val="1139396336"/>
      </c:barChart>
      <c:catAx>
        <c:axId val="17258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9396336"/>
        <c:crosses val="autoZero"/>
        <c:auto val="1"/>
        <c:lblAlgn val="ctr"/>
        <c:lblOffset val="100"/>
        <c:noMultiLvlLbl val="0"/>
      </c:catAx>
      <c:valAx>
        <c:axId val="11393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58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215347</xdr:colOff>
      <xdr:row>17</xdr:row>
      <xdr:rowOff>168965</xdr:rowOff>
    </xdr:from>
    <xdr:to>
      <xdr:col>13</xdr:col>
      <xdr:colOff>215347</xdr:colOff>
      <xdr:row>32</xdr:row>
      <xdr:rowOff>54665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6498E7D-08DB-7496-F1F3-2931760C4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CA62-8A0F-4782-9EA5-57361C42BC89}">
  <dimension ref="C5:I17"/>
  <sheetViews>
    <sheetView tabSelected="1" zoomScale="115" zoomScaleNormal="115" workbookViewId="0">
      <selection activeCell="O4" sqref="O4"/>
    </sheetView>
  </sheetViews>
  <sheetFormatPr baseColWidth="10" defaultRowHeight="15" x14ac:dyDescent="0.25"/>
  <cols>
    <col min="7" max="7" width="16.7109375" customWidth="1"/>
  </cols>
  <sheetData>
    <row r="5" spans="3:9" x14ac:dyDescent="0.25">
      <c r="D5" t="s">
        <v>0</v>
      </c>
      <c r="E5" t="s">
        <v>1</v>
      </c>
      <c r="F5" t="s">
        <v>2</v>
      </c>
      <c r="G5" t="s">
        <v>3</v>
      </c>
    </row>
    <row r="6" spans="3:9" x14ac:dyDescent="0.25">
      <c r="C6" t="s">
        <v>4</v>
      </c>
      <c r="D6">
        <v>7</v>
      </c>
      <c r="E6">
        <v>61</v>
      </c>
      <c r="F6">
        <v>2</v>
      </c>
      <c r="G6">
        <v>18</v>
      </c>
      <c r="H6">
        <f>SUM(D6:G6)</f>
        <v>88</v>
      </c>
      <c r="I6">
        <v>88</v>
      </c>
    </row>
    <row r="7" spans="3:9" x14ac:dyDescent="0.25">
      <c r="C7" t="s">
        <v>5</v>
      </c>
      <c r="D7">
        <v>15.3</v>
      </c>
      <c r="E7">
        <v>37.200000000000003</v>
      </c>
      <c r="F7">
        <v>7</v>
      </c>
      <c r="G7">
        <v>28.5</v>
      </c>
      <c r="H7">
        <f>SUM(D7:G7)</f>
        <v>88</v>
      </c>
      <c r="I7">
        <v>88</v>
      </c>
    </row>
    <row r="14" spans="3:9" x14ac:dyDescent="0.25">
      <c r="D14" t="s">
        <v>0</v>
      </c>
      <c r="E14" t="s">
        <v>7</v>
      </c>
      <c r="F14" t="s">
        <v>2</v>
      </c>
      <c r="G14" t="s">
        <v>3</v>
      </c>
    </row>
    <row r="15" spans="3:9" x14ac:dyDescent="0.25">
      <c r="C15" t="s">
        <v>6</v>
      </c>
      <c r="D15" s="1">
        <v>0.3</v>
      </c>
      <c r="E15" s="1">
        <v>0.4</v>
      </c>
      <c r="F15" s="1">
        <v>0.15</v>
      </c>
      <c r="G15" s="1">
        <v>0.15</v>
      </c>
      <c r="I15" s="1">
        <f>SUM(D15:G15)</f>
        <v>1</v>
      </c>
    </row>
    <row r="16" spans="3:9" x14ac:dyDescent="0.25">
      <c r="C16" t="s">
        <v>4</v>
      </c>
      <c r="D16" s="1">
        <f>D6/I6</f>
        <v>7.9545454545454544E-2</v>
      </c>
      <c r="E16" s="1">
        <f>E6/I6</f>
        <v>0.69318181818181823</v>
      </c>
      <c r="F16" s="1">
        <f>F6/I6</f>
        <v>2.2727272727272728E-2</v>
      </c>
      <c r="G16" s="1">
        <f>G6/I6</f>
        <v>0.20454545454545456</v>
      </c>
      <c r="I16" s="1">
        <f>SUM(D16:G16)</f>
        <v>1</v>
      </c>
    </row>
    <row r="17" spans="3:9" x14ac:dyDescent="0.25">
      <c r="C17" t="s">
        <v>5</v>
      </c>
      <c r="D17" s="1">
        <f>D7/I7</f>
        <v>0.17386363636363636</v>
      </c>
      <c r="E17" s="1">
        <f>E7/I7</f>
        <v>0.42272727272727278</v>
      </c>
      <c r="F17" s="1">
        <f>F7/I7</f>
        <v>7.9545454545454544E-2</v>
      </c>
      <c r="G17" s="1">
        <f>G7/I7</f>
        <v>0.32386363636363635</v>
      </c>
      <c r="I17" s="1">
        <f>SUM(D17:G17)</f>
        <v>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2D7AFA525D148B8E1C95ABAA3BBB1" ma:contentTypeVersion="17" ma:contentTypeDescription="Crée un document." ma:contentTypeScope="" ma:versionID="b06fc67f87fbb730a6dce0348c5b38c2">
  <xsd:schema xmlns:xsd="http://www.w3.org/2001/XMLSchema" xmlns:xs="http://www.w3.org/2001/XMLSchema" xmlns:p="http://schemas.microsoft.com/office/2006/metadata/properties" xmlns:ns3="9adedb59-91c9-495f-8a1b-28560f044ed3" xmlns:ns4="5202d89c-be0b-4105-94e8-ddd475ac565d" targetNamespace="http://schemas.microsoft.com/office/2006/metadata/properties" ma:root="true" ma:fieldsID="f36f85ce197482297466f03595319dfe" ns3:_="" ns4:_="">
    <xsd:import namespace="9adedb59-91c9-495f-8a1b-28560f044ed3"/>
    <xsd:import namespace="5202d89c-be0b-4105-94e8-ddd475ac56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edb59-91c9-495f-8a1b-28560f044e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2d89c-be0b-4105-94e8-ddd475ac565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adedb59-91c9-495f-8a1b-28560f044e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45D9CA-667A-40F4-B85D-A8B204549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dedb59-91c9-495f-8a1b-28560f044ed3"/>
    <ds:schemaRef ds:uri="5202d89c-be0b-4105-94e8-ddd475ac56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594B94-093E-47CC-BDF3-15E654D10211}">
  <ds:schemaRefs>
    <ds:schemaRef ds:uri="http://schemas.openxmlformats.org/package/2006/metadata/core-properties"/>
    <ds:schemaRef ds:uri="http://www.w3.org/XML/1998/namespace"/>
    <ds:schemaRef ds:uri="http://purl.org/dc/elements/1.1/"/>
    <ds:schemaRef ds:uri="9adedb59-91c9-495f-8a1b-28560f044ed3"/>
    <ds:schemaRef ds:uri="http://schemas.microsoft.com/office/2006/documentManagement/types"/>
    <ds:schemaRef ds:uri="http://schemas.microsoft.com/office/infopath/2007/PartnerControls"/>
    <ds:schemaRef ds:uri="http://purl.org/dc/dcmitype/"/>
    <ds:schemaRef ds:uri="5202d89c-be0b-4105-94e8-ddd475ac565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40AEF6D-05F2-4F96-BDBA-88FEA26DAD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Kablouti</dc:creator>
  <cp:lastModifiedBy>Morgan Dimitri Dussault</cp:lastModifiedBy>
  <dcterms:created xsi:type="dcterms:W3CDTF">2025-06-04T13:37:28Z</dcterms:created>
  <dcterms:modified xsi:type="dcterms:W3CDTF">2025-06-04T14:31:01Z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0x010100DE62D7AFA525D148B8E1C95ABAA3BBB1</vt:lpwstr>
  </property>
</Properties>
</file>