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A8FD5010-69C1-46A0-87D8-88BE035EB464}"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12" l="1"/>
  <c r="C15" i="12"/>
  <c r="C22" i="12"/>
  <c r="C29" i="12"/>
  <c r="C36" i="12"/>
  <c r="C44" i="12"/>
  <c r="C52" i="12"/>
  <c r="C62" i="12"/>
  <c r="C68" i="12"/>
  <c r="C75" i="12"/>
  <c r="C83" i="12"/>
  <c r="C92" i="12"/>
  <c r="C101" i="12"/>
  <c r="C109" i="12"/>
  <c r="C119" i="12"/>
  <c r="C126" i="12"/>
  <c r="C132" i="12"/>
  <c r="C142" i="12"/>
  <c r="C152" i="12"/>
  <c r="C161" i="12"/>
  <c r="C168" i="12"/>
  <c r="C177" i="12"/>
  <c r="D176" i="12"/>
  <c r="C188" i="12"/>
  <c r="C195" i="12"/>
  <c r="C202" i="12"/>
  <c r="C212" i="12"/>
  <c r="D4" i="12"/>
  <c r="D201" i="12"/>
  <c r="D105" i="12"/>
  <c r="D146" i="12"/>
  <c r="D108" i="12"/>
  <c r="D72" i="12"/>
  <c r="D49" i="12"/>
  <c r="D52" i="12"/>
  <c r="D28" i="12"/>
  <c r="D100" i="12"/>
  <c r="D13" i="12"/>
  <c r="D22" i="12"/>
  <c r="D142" i="12"/>
  <c r="D136" i="12"/>
  <c r="D141" i="12"/>
  <c r="D174" i="12"/>
  <c r="D199" i="12"/>
  <c r="D209" i="12"/>
  <c r="D26" i="12"/>
  <c r="D59" i="12"/>
  <c r="D175" i="12"/>
  <c r="D184" i="12"/>
  <c r="D183" i="12"/>
  <c r="D167" i="12"/>
  <c r="D67" i="12"/>
  <c r="D202" i="12"/>
  <c r="D147" i="12"/>
  <c r="D83" i="12"/>
  <c r="D27" i="12"/>
  <c r="D161" i="12"/>
  <c r="D194" i="12"/>
  <c r="D114" i="12"/>
  <c r="D137" i="12"/>
  <c r="D92" i="12"/>
  <c r="D36" i="12"/>
  <c r="D34" i="12"/>
  <c r="D117" i="12"/>
  <c r="D20" i="12"/>
  <c r="D35" i="12"/>
  <c r="D193" i="12"/>
  <c r="D150" i="12"/>
  <c r="D109" i="12"/>
  <c r="D172" i="12"/>
  <c r="D15" i="12"/>
  <c r="D33" i="12"/>
  <c r="D19" i="12"/>
  <c r="D123" i="12"/>
  <c r="D151" i="12"/>
  <c r="D200" i="12"/>
  <c r="D140" i="12"/>
  <c r="D119" i="12"/>
  <c r="D173" i="12"/>
  <c r="D42" i="12"/>
  <c r="D186" i="12"/>
  <c r="D126" i="12"/>
  <c r="D81" i="12"/>
  <c r="D87" i="12"/>
  <c r="D125" i="12"/>
  <c r="D188" i="12"/>
  <c r="D152" i="12"/>
  <c r="D115" i="12"/>
  <c r="D56" i="12"/>
  <c r="D212" i="12"/>
  <c r="D41" i="12"/>
  <c r="D66" i="12"/>
  <c r="D148" i="12"/>
  <c r="D166" i="12"/>
  <c r="D208" i="12"/>
  <c r="D165" i="12"/>
  <c r="D89" i="12"/>
  <c r="D21" i="12"/>
  <c r="D182" i="12"/>
  <c r="D90" i="12"/>
  <c r="D98" i="12"/>
  <c r="D187" i="12"/>
  <c r="D75" i="12"/>
  <c r="D50" i="12"/>
  <c r="D131" i="12"/>
  <c r="D139" i="12"/>
  <c r="D82" i="12"/>
  <c r="D61" i="12"/>
  <c r="D106" i="12"/>
  <c r="D192" i="12"/>
  <c r="D101" i="12"/>
  <c r="D195" i="12"/>
  <c r="D60" i="12"/>
  <c r="D160" i="12"/>
  <c r="D96" i="12"/>
  <c r="D68" i="12"/>
  <c r="D207" i="12"/>
  <c r="D51" i="12"/>
  <c r="D44" i="12"/>
  <c r="D97" i="12"/>
  <c r="D116" i="12"/>
  <c r="D73" i="12"/>
  <c r="D156" i="12"/>
  <c r="D118" i="12"/>
  <c r="D158" i="12"/>
  <c r="D80" i="12"/>
  <c r="D40" i="12"/>
  <c r="D5" i="12"/>
  <c r="D74" i="12"/>
  <c r="D88" i="12"/>
  <c r="D99" i="12"/>
  <c r="D206" i="12"/>
  <c r="D79" i="12"/>
  <c r="D11" i="12"/>
  <c r="D12" i="12"/>
  <c r="D159" i="12"/>
  <c r="D157" i="12"/>
  <c r="D211" i="12"/>
  <c r="D210" i="12"/>
  <c r="D124" i="12"/>
  <c r="D168" i="12"/>
  <c r="D138" i="12"/>
  <c r="D57" i="12"/>
  <c r="D91" i="12"/>
  <c r="D181" i="12"/>
  <c r="D130" i="12"/>
  <c r="D132" i="12"/>
  <c r="D29" i="12"/>
  <c r="D113" i="12"/>
  <c r="D62" i="12"/>
  <c r="D177" i="12"/>
  <c r="D48" i="12"/>
  <c r="D149" i="12"/>
  <c r="D14" i="12"/>
  <c r="D107" i="12"/>
  <c r="D58" i="12"/>
  <c r="D43" i="12"/>
  <c r="D6" i="12"/>
  <c r="D7" i="12"/>
  <c r="C221"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12" i="10"/>
  <c r="D11" i="15"/>
  <c r="D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220" i="12"/>
  <c r="D218" i="12"/>
  <c r="D221" i="12"/>
  <c r="D217" i="12"/>
  <c r="D216" i="12"/>
  <c r="D219"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<sst xmlns="http://schemas.openxmlformats.org/spreadsheetml/2006/main" count="891" uniqueCount="177">
  <si>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</si>
  <si>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</si>
  <si>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</si>
  <si>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</si>
  <si>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</si>
  <si>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</si>
  <si>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</si>
  <si>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</si>
  <si>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</si>
  <si>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</si>
  <si>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</si>
  <si>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</si>
  <si>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</si>
  <si>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</si>
  <si>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</si>
  <si>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</si>
  <si>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</si>
  <si>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</si>
  <si>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</si>
  <si>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</si>
  <si>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</si>
  <si>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</si>
  <si>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</si>
  <si>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</si>
  <si>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</si>
  <si>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</si>
  <si>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</si>
  <si>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</si>
  <si>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</si>
  <si>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</si>
  <si>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</si>
  <si>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</si>
  <si>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</si>
  <si>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</si>
  <si>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</si>
  <si>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</si>
  <si>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</si>
  <si>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</si>
  <si>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</si>
  <si>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</si>
  <si>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</si>
  <si>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</si>
  <si>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</si>
  <si>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</si>
  <si>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</si>
  <si>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</si>
  <si>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</si>
  <si>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</si>
  <si>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</si>
  <si>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</si>
  <si>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</si>
  <si>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</si>
  <si>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</si>
  <si>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</si>
  <si>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</si>
  <si>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</si>
  <si>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</si>
  <si>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</si>
  <si>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</si>
  <si>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</si>
  <si>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</si>
  <si>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</si>
  <si>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</si>
  <si>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</si>
  <si>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</si>
  <si>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</si>
  <si>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</si>
  <si>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</si>
  <si>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</si>
  <si>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</si>
  <si>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</si>
  <si>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</si>
  <si>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</si>
  <si>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</si>
  <si>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</si>
  <si>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</si>
  <si>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</si>
  <si>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</si>
  <si>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</si>
  <si>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</si>
  <si>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</si>
  <si>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</si>
  <si>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</si>
  <si>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</si>
  <si>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</si>
  <si>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</si>
  <si>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</si>
  <si>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</si>
  <si>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</si>
  <si>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</si>
  <si>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</si>
  <si>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</si>
  <si>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</si>
  <si>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</si>
  <si>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</si>
  <si>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</si>
  <si>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</si>
  <si>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</si>
  <si>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</si>
  <si>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</si>
  <si>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</si>
  <si>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</si>
  <si>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</si>
  <si>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</si>
  <si>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</si>
  <si>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</si>
  <si>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</si>
  <si>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</si>
  <si>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</si>
  <si>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</si>
  <si>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</si>
  <si>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</si>
  <si>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</si>
  <si>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</si>
  <si>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</si>
  <si>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</si>
  <si>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</si>
  <si>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</si>
  <si>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</si>
  <si>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</si>
  <si>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</si>
  <si>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</si>
  <si>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</si>
  <si>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</si>
  <si>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</si>
  <si>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</si>
  <si>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</si>
  <si>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</si>
  <si>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</si>
  <si>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</si>
  <si>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</si>
  <si>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</si>
  <si>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</si>
  <si>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</si>
  <si>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</si>
  <si>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</si>
  <si>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</si>
  <si>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</si>
  <si>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</si>
  <si>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</si>
  <si>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</si>
  <si>
    <t>Résumé du travail effectué lors de la derniere sesion et list de ce que je compte faire aujourd'hui                                                       dernière session: ajout de l'export du JDT et import ainsi que test sur ma machine personelle                                                               Aujourd'hui: fix bug, se lance pas sur un autre machine, Sprint review, fix de bug si il y en a, avance sur la doc (sprint retrospectiv, point de design spécifique), début des stories du sprint 2</t>
  </si>
  <si>
    <t>fix du bug qui fesait crasher l'app si executée sur un autre pc, dans la commande il y avait un paramètre PublishSingleFile=true et une fois changé en PublishSingleFile=false tout marchait</t>
  </si>
  <si>
    <t>Sprint review, validation de 2 storie, 2 avec des bugs</t>
  </si>
  <si>
    <t>fix des bugs découverts lors  de la Sprint Review</t>
  </si>
  <si>
    <t>avancement sur la fonctionalité de modification des champs en cliquant dessu [WIP], la touche Enter n'a pas encore étée incorporée</t>
  </si>
  <si>
    <t>Début de la fonctionalité de modification des champs en cliquant dessu [WIP]</t>
  </si>
  <si>
    <t>Avancement sur la documentation, ajout de la sprint retrospective et d'un point de design spécifique</t>
  </si>
  <si>
    <t>Résumé du travail effectué lors de la derniere sesion et list de ce que je compte faire aujourd'hui                                                       dernière session: sprint review + début de la modification de champs                                                                                               aujourd'hui: finir la modification, suppression et ajout de nouvelles entrées dans le JDT (fichier gitj)</t>
  </si>
  <si>
    <t>rencontre avec l'expert no 2</t>
  </si>
  <si>
    <t>fin de l'ajout de  fonctionalité de modification des champs en cliquant dessu [DONE]</t>
  </si>
  <si>
    <t>Début de la fonctionalité de d'ajout de nouvelle entrée au journal [WIP]</t>
  </si>
  <si>
    <t>fin de l'ajout de nouvelle entrée au journal [Done]</t>
  </si>
  <si>
    <t>Résumé du travail effectué lors de la derniere sesion et list de ce que je compte faire aujourd'hui                                                       dernière session: finalisation de l'ajout, suppression et modification des entrées dans GitJournal                                                                                               aujourd'hui: ajout de l'export du JDT depuis GitJournal en PDF</t>
  </si>
  <si>
    <t>ajout de l'export en PDF, pour l'instant il y a de problèmes avec l'affichage. Certains tableaux sont coupés et la suite n'est j'amais affichée [WIP]</t>
  </si>
  <si>
    <t>test du programme en local sur la machine de dev et sur ma machine personelle (qui a un autre OS, cpu) qui est un bon moyen de tester</t>
  </si>
  <si>
    <t>finalisation de l'option d'export en PDF [Done]</t>
  </si>
  <si>
    <t>Test et fix de nombreux problèmes lié à l'export en pdf ce qui parfois m'a fait modifier d'autre mecaniques</t>
  </si>
  <si>
    <t>https://github.com/Morgan-DD/GitJournal/blob/master/Livrables/Gitj_compile.zip</t>
  </si>
  <si>
    <t>Résumé du travail effectué lors de la derniere sesion et list de ce que je compte faire aujourd'hui                                                       dernière session: finalisation de l'export en PDF + tests basiques                                                                                               aujourd'hui: Avancer un maximum sur la doc</t>
  </si>
  <si>
    <t>Avancement sur la documentation, Ajout de 3 point spécifiques ainsi que du grand paragraph sur l'IA</t>
  </si>
  <si>
    <t>Creation de schéma, screenshots et recherche d'image pour la doc</t>
  </si>
  <si>
    <t>Ajout du total d'heure au PDF (oubli) et compilation de ce code pour la SR</t>
  </si>
  <si>
    <t>Résumé du travail effectué lors de la derniere sesion et list de ce que je compte faire aujourd'hui                                                       dernière session: avancement sur la doc                                                                                               aujourd'hui: Setup de l'environement pour laSprint review 2 avec le CP, fix de bug si présents (apres la SR), avance sur la doc</t>
  </si>
  <si>
    <t>Sprint Review 2</t>
  </si>
  <si>
    <t>avance sur les points 3.2 à 3.5</t>
  </si>
  <si>
    <t>avance sur les points 3.2 à 3.5 et début du chapitre sur la dette technique</t>
  </si>
  <si>
    <t>Résumé du travail effectué lors de la derniere sesion et list de ce que je compte faire aujourd'hui                                                       dernière session: avancement sur la doc                                                                                               aujourd'hui:  avance sur la doc et code review</t>
  </si>
  <si>
    <t>Résumé du travail effectué lors de la derniere sesion et list de ce que je compte faire aujourd'hui                                                       dernière session: avancement sur la doc et code review                                                                                              aujourd'hui:  avancer sur la doc et si possible finir de la completer, il restera la vérification et le check au niveau de l'orthographe à faire</t>
  </si>
  <si>
    <t>avance sur le point 3.6 (tests effectués)</t>
  </si>
  <si>
    <t>avance sur le point 3.6, 4, 5</t>
  </si>
  <si>
    <t>+ 85h 5 min</t>
  </si>
  <si>
    <t>Résumé du travail effectué lors de la derniere sesion et list de ce que je compte faire aujourd'hui                                                       dernière session: avancement sur la doc                                                                                            aujourd'hui:  relire la doc pour corriger un maximum d'erreur, faire une page de titre pour mon JDT, rendre les documents finis avant 11h25 et les imprimer si le temp le permet</t>
  </si>
  <si>
    <t>relécture de la doc et correction d'erreurs</t>
  </si>
  <si>
    <t>52h 30 min</t>
  </si>
  <si>
    <t>137h 35 min</t>
  </si>
  <si>
    <t>Export des fichiers en PDF pour le rendu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</si>
</sst>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1">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2" fillId="19" borderId="54" xfId="0" applyFont="1" applyFill="1" applyBorder="1"/>
    <xf numFmtId="0" fontId="2" fillId="19" borderId="76" xfId="0" applyFont="1" applyFill="1" applyBorder="1"/>
    <xf numFmtId="0" fontId="0" fillId="19" borderId="11" xfId="0" applyFill="1" applyBorder="1"/>
    <xf numFmtId="0" fontId="2" fillId="19" borderId="0" xfId="0" applyFont="1" applyFill="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1" fillId="0" borderId="33" xfId="1" applyBorder="1" applyAlignment="1" applyProtection="1">
      <alignment horizontal="left" vertical="center" wrapText="1"/>
      <protection locked="0"/>
    </xf>
    <xf numFmtId="0" fontId="2" fillId="0" borderId="47" xfId="0" applyFont="1" applyBorder="1" applyAlignment="1" applyProtection="1">
      <alignment horizontal="left" vertical="center" wrapText="1"/>
      <protection locked="0"/>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center" wrapText="1"/>
      <protection locked="0"/>
    </xf>
    <xf numFmtId="0" fontId="1" fillId="0" borderId="33" xfId="1" applyBorder="1" applyAlignment="1" applyProtection="1">
      <alignment horizontal="center" vertical="top" wrapText="1"/>
      <protection locked="0"/>
    </xf>
    <xf numFmtId="0" fontId="1" fillId="0" borderId="32" xfId="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47" xfId="1" applyBorder="1" applyAlignment="1" applyProtection="1">
      <alignment horizontal="left" vertical="top" wrapText="1"/>
      <protection locked="0"/>
    </xf>
  </cellXfs>
  <cellStyles count="2">
    <cellStyle name="Lien hypertexte" xfId="1" builtinId="8"/>
    <cellStyle name="Normal" xfId="0" builtinId="0" customBuiltin="1"/>
  </cellStyles>
  <dxfs count="3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0"/>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8DE-4A86-A41C-2F59ED1C811E}"/>
                </c:ext>
              </c:extLst>
            </c:dLbl>
            <c:dLbl>
              <c:idx val="1"/>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18DE-4A86-A41C-2F59ED1C811E}"/>
                </c:ext>
              </c:extLst>
            </c:dLbl>
            <c:dLbl>
              <c:idx val="2"/>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18DE-4A86-A41C-2F59ED1C811E}"/>
                </c:ext>
              </c:extLst>
            </c:dLbl>
            <c:dLbl>
              <c:idx val="3"/>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8DE-4A86-A41C-2F59ED1C811E}"/>
                </c:ext>
              </c:extLst>
            </c:dLbl>
            <c:dLbl>
              <c:idx val="4"/>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18DE-4A86-A41C-2F59ED1C811E}"/>
                </c:ext>
              </c:extLst>
            </c:dLbl>
            <c:dLbl>
              <c:idx val="5"/>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8DE-4A86-A41C-2F59ED1C811E}"/>
                </c:ext>
              </c:extLst>
            </c:dLbl>
            <c:dLbl>
              <c:idx val="6"/>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18DE-4A86-A41C-2F59ED1C811E}"/>
                </c:ext>
              </c:extLst>
            </c:dLbl>
            <c:dLbl>
              <c:idx val="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8DE-4A86-A41C-2F59ED1C811E}"/>
                </c:ext>
              </c:extLst>
            </c:dLbl>
            <c:dLbl>
              <c:idx val="8"/>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18DE-4A86-A41C-2F59ED1C811E}"/>
                </c:ext>
              </c:extLst>
            </c:dLbl>
            <c:dLbl>
              <c:idx val="9"/>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8DE-4A86-A41C-2F59ED1C811E}"/>
                </c:ext>
              </c:extLst>
            </c:dLbl>
            <c:dLbl>
              <c:idx val="10"/>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18DE-4A86-A41C-2F59ED1C811E}"/>
                </c:ext>
              </c:extLst>
            </c:dLbl>
            <c:dLbl>
              <c:idx val="11"/>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18DE-4A86-A41C-2F59ED1C811E}"/>
                </c:ext>
              </c:extLst>
            </c:dLbl>
            <c:dLbl>
              <c:idx val="12"/>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18DE-4A86-A41C-2F59ED1C811E}"/>
                </c:ext>
              </c:extLst>
            </c:dLbl>
            <c:dLbl>
              <c:idx val="13"/>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18DE-4A86-A41C-2F59ED1C811E}"/>
                </c:ext>
              </c:extLst>
            </c:dLbl>
            <c:dLbl>
              <c:idx val="14"/>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18DE-4A86-A41C-2F59ED1C811E}"/>
                </c:ext>
              </c:extLst>
            </c:dLbl>
            <c:dLbl>
              <c:idx val="15"/>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18DE-4A86-A41C-2F59ED1C811E}"/>
                </c:ext>
              </c:extLst>
            </c:dLbl>
            <c:dLbl>
              <c:idx val="16"/>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18DE-4A86-A41C-2F59ED1C811E}"/>
                </c:ext>
              </c:extLst>
            </c:dLbl>
            <c:dLbl>
              <c:idx val="1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18DE-4A86-A41C-2F59ED1C811E}"/>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35</c:v>
              </c:pt>
              <c:pt idx="1">
                <c:v>35</c:v>
              </c:pt>
              <c:pt idx="2">
                <c:v>35</c:v>
              </c:pt>
              <c:pt idx="3">
                <c:v>35</c:v>
              </c:pt>
              <c:pt idx="4">
                <c:v>35</c:v>
              </c:pt>
              <c:pt idx="5">
                <c:v>35</c:v>
              </c:pt>
              <c:pt idx="6">
                <c:v>35</c:v>
              </c:pt>
              <c:pt idx="7">
                <c:v>35</c:v>
              </c:pt>
              <c:pt idx="8">
                <c:v>35</c:v>
              </c:pt>
              <c:pt idx="9">
                <c:v>35</c:v>
              </c:pt>
              <c:pt idx="10">
                <c:v>35</c:v>
              </c:pt>
              <c:pt idx="11">
                <c:v>35</c:v>
              </c:pt>
              <c:pt idx="12">
                <c:v>35</c:v>
              </c:pt>
              <c:pt idx="13">
                <c:v>35</c:v>
              </c:pt>
              <c:pt idx="14">
                <c:v>35</c:v>
              </c:pt>
              <c:pt idx="15">
                <c:v>35</c:v>
              </c:pt>
              <c:pt idx="16">
                <c:v>35</c:v>
              </c:pt>
              <c:pt idx="17">
                <c:v>35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18DE-4A86-A41C-2F59ED1C811E}"/>
                </c:ext>
              </c:extLst>
            </c:dLbl>
            <c:dLbl>
              <c:idx val="1"/>
              <c:tx>
                <c:rich>
                  <a:bodyPr/>
                  <a:lstStyle/>
                  <a:p>
                    <a:r>
                      <a:rPr lang="en-US"/>
                      <a:t>16h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2"/>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18DE-4A86-A41C-2F59ED1C811E}"/>
                </c:ext>
              </c:extLst>
            </c:dLbl>
            <c:dLbl>
              <c:idx val="3"/>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27h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5"/>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CB-4AFB-8871-5944C61B8FBB}"/>
                </c:ext>
              </c:extLst>
            </c:dLbl>
            <c:dLbl>
              <c:idx val="6"/>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CB-4AFB-8871-5944C61B8FBB}"/>
                </c:ext>
              </c:extLst>
            </c:dLbl>
            <c:dLbl>
              <c:idx val="7"/>
              <c:tx>
                <c:rich>
                  <a:bodyPr/>
                  <a:lstStyle/>
                  <a:p>
                    <a:r>
                      <a:rPr lang="en-US"/>
                      <a:t>8h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9"/>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18DE-4A86-A41C-2F59ED1C811E}"/>
                </c:ext>
              </c:extLst>
            </c:dLbl>
            <c:dLbl>
              <c:idx val="10"/>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CB-4AFB-8871-5944C61B8FBB}"/>
                </c:ext>
              </c:extLst>
            </c:dLbl>
            <c:dLbl>
              <c:idx val="11"/>
              <c:tx>
                <c:rich>
                  <a:bodyPr/>
                  <a:lstStyle/>
                  <a:p>
                    <a:r>
                      <a:rPr lang="en-US"/>
                      <a:t>8h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CB-4AFB-8871-5944C61B8FBB}"/>
                </c:ext>
              </c:extLst>
            </c:dLbl>
            <c:dLbl>
              <c:idx val="12"/>
              <c:tx>
                <c:rich>
                  <a:bodyPr/>
                  <a:lstStyle/>
                  <a:p>
                    <a:r>
                      <a:rPr lang="en-US"/>
                      <a:t>6h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CB-4AFB-8871-5944C61B8FBB}"/>
                </c:ext>
              </c:extLst>
            </c:dLbl>
            <c:dLbl>
              <c:idx val="13"/>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CB-4AFB-8871-5944C61B8FBB}"/>
                </c:ext>
              </c:extLst>
            </c:dLbl>
            <c:dLbl>
              <c:idx val="14"/>
              <c:tx>
                <c:rich>
                  <a:bodyPr/>
                  <a:lstStyle/>
                  <a:p>
                    <a:r>
                      <a:rPr lang="en-US"/>
                      <a:t>29h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CB-4AFB-8871-5944C61B8FBB}"/>
                </c:ext>
              </c:extLst>
            </c:dLbl>
            <c:dLbl>
              <c:idx val="15"/>
              <c:tx>
                <c:rich>
                  <a:bodyPr/>
                  <a:lstStyle/>
                  <a:p>
                    <a:r>
                      <a:rPr lang="en-US"/>
                      <a:t>4h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dLbl>
              <c:idx val="16"/>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315-48FF-BDEA-2C1122366C95}"/>
                </c:ext>
              </c:extLst>
            </c:dLbl>
            <c:dLbl>
              <c:idx val="1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18DE-4A86-A41C-2F59ED1C811E}"/>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35</c:v>
              </c:pt>
              <c:pt idx="1">
                <c:v>201</c:v>
              </c:pt>
              <c:pt idx="2">
                <c:v>35</c:v>
              </c:pt>
              <c:pt idx="3">
                <c:v>44</c:v>
              </c:pt>
              <c:pt idx="4">
                <c:v>335</c:v>
              </c:pt>
              <c:pt idx="5">
                <c:v>42</c:v>
              </c:pt>
              <c:pt idx="6">
                <c:v>38</c:v>
              </c:pt>
              <c:pt idx="7">
                <c:v>97</c:v>
              </c:pt>
              <c:pt idx="8">
                <c:v>48</c:v>
              </c:pt>
              <c:pt idx="9">
                <c:v>35</c:v>
              </c:pt>
              <c:pt idx="10">
                <c:v>39</c:v>
              </c:pt>
              <c:pt idx="11">
                <c:v>102</c:v>
              </c:pt>
              <c:pt idx="12">
                <c:v>78</c:v>
              </c:pt>
              <c:pt idx="13">
                <c:v>41</c:v>
              </c:pt>
              <c:pt idx="14">
                <c:v>350</c:v>
              </c:pt>
              <c:pt idx="15">
                <c:v>56</c:v>
              </c:pt>
              <c:pt idx="16">
                <c:v>40</c:v>
              </c:pt>
              <c:pt idx="17">
                <c:v>35</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r>
                      <a:rPr lang="en-US"/>
                      <a:t>2h 55 min</a:t>
                    </a:r>
                  </a:p>
                  <a:p>
                    <a:r>
                      <a:rPr lang="en-US"/>
                      <a:t> 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2h 55 min</a:t>
                    </a:r>
                  </a:p>
                  <a:p>
                    <a:r>
                      <a:rPr lang="en-US"/>
                      <a:t> 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2h 55 min</a:t>
                    </a:r>
                  </a:p>
                  <a:p>
                    <a:r>
                      <a:rPr lang="en-US"/>
                      <a:t> 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5h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5h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5h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5h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2h 55 min</a:t>
                    </a:r>
                  </a:p>
                  <a:p>
                    <a:r>
                      <a:rPr lang="en-US"/>
                      <a:t> 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8h 45 min</a:t>
                    </a:r>
                  </a:p>
                  <a:p>
                    <a:r>
                      <a:rPr lang="en-US"/>
                      <a:t> 16.7%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r>
                      <a:rPr lang="en-US"/>
                      <a:t>5h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r>
                      <a:rPr lang="en-US"/>
                      <a:t>2h 55 min</a:t>
                    </a:r>
                  </a:p>
                  <a:p>
                    <a:r>
                      <a:rPr lang="en-US"/>
                      <a:t> 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35</c:v>
              </c:pt>
              <c:pt idx="1">
                <c:v>35</c:v>
              </c:pt>
              <c:pt idx="2">
                <c:v>35</c:v>
              </c:pt>
              <c:pt idx="3">
                <c:v>70</c:v>
              </c:pt>
              <c:pt idx="4">
                <c:v>70</c:v>
              </c:pt>
              <c:pt idx="5">
                <c:v>70</c:v>
              </c:pt>
              <c:pt idx="6">
                <c:v>70</c:v>
              </c:pt>
              <c:pt idx="7">
                <c:v>35</c:v>
              </c:pt>
              <c:pt idx="8">
                <c:v>105</c:v>
              </c:pt>
              <c:pt idx="9">
                <c:v>70</c:v>
              </c:pt>
              <c:pt idx="10">
                <c:v>35</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r>
                      <a:rPr lang="en-US"/>
                      <a:t>2h 55 min</a:t>
                    </a:r>
                  </a:p>
                  <a:p>
                    <a:r>
                      <a:rPr lang="en-US"/>
                      <a:t> 2.1%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16h 45 min</a:t>
                    </a:r>
                  </a:p>
                  <a:p>
                    <a:r>
                      <a:rPr lang="en-US"/>
                      <a:t> 12.2%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2h 55 min</a:t>
                    </a:r>
                  </a:p>
                  <a:p>
                    <a:r>
                      <a:rPr lang="en-US"/>
                      <a:t> 2.1%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31h 35 min</a:t>
                    </a:r>
                  </a:p>
                  <a:p>
                    <a:r>
                      <a:rPr lang="en-US"/>
                      <a:t> 23.0%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6h 40 min</a:t>
                    </a:r>
                  </a:p>
                  <a:p>
                    <a:r>
                      <a:rPr lang="en-US"/>
                      <a:t> 4.8%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12h 5 min</a:t>
                    </a:r>
                  </a:p>
                  <a:p>
                    <a:r>
                      <a:rPr lang="en-US"/>
                      <a:t> 8.8%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6h 10 min</a:t>
                    </a:r>
                  </a:p>
                  <a:p>
                    <a:r>
                      <a:rPr lang="en-US"/>
                      <a:t> 4.5%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8h 30 min</a:t>
                    </a:r>
                  </a:p>
                  <a:p>
                    <a:r>
                      <a:rPr lang="en-US"/>
                      <a:t> 6.2%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39h 5 min</a:t>
                    </a:r>
                  </a:p>
                  <a:p>
                    <a:r>
                      <a:rPr lang="en-US"/>
                      <a:t> 28.4%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8h</a:t>
                    </a:r>
                  </a:p>
                  <a:p>
                    <a:r>
                      <a:rPr lang="en-US"/>
                      <a:t> 5.8%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r>
                      <a:rPr lang="en-US"/>
                      <a:t>2h 55 min</a:t>
                    </a:r>
                  </a:p>
                  <a:p>
                    <a:r>
                      <a:rPr lang="en-US"/>
                      <a:t> 2.1%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35</c:v>
              </c:pt>
              <c:pt idx="1">
                <c:v>201</c:v>
              </c:pt>
              <c:pt idx="2">
                <c:v>35</c:v>
              </c:pt>
              <c:pt idx="3">
                <c:v>379</c:v>
              </c:pt>
              <c:pt idx="4">
                <c:v>80</c:v>
              </c:pt>
              <c:pt idx="5">
                <c:v>145</c:v>
              </c:pt>
              <c:pt idx="6">
                <c:v>74</c:v>
              </c:pt>
              <c:pt idx="7">
                <c:v>102</c:v>
              </c:pt>
              <c:pt idx="8">
                <c:v>469</c:v>
              </c:pt>
              <c:pt idx="9">
                <c:v>96</c:v>
              </c:pt>
              <c:pt idx="10">
                <c:v>35</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hyperlink" Target="https://github.com/Morgan-DD/GitJournal/blob/master/Livrables/Gitj_compile.zip" TargetMode="External"/><Relationship Id="rId39" Type="http://schemas.openxmlformats.org/officeDocument/2006/relationships/hyperlink" Target="https://github.com/Morgan-DD/GitJournal/blob/master/Doc/Documentation_MorganDussault_GitJournal.docx" TargetMode="External"/><Relationship Id="rId21" Type="http://schemas.openxmlformats.org/officeDocument/2006/relationships/hyperlink" Target="https://github.com/Morgan-DD/GitJournal/releases/latest" TargetMode="External"/><Relationship Id="rId34" Type="http://schemas.openxmlformats.org/officeDocument/2006/relationships/hyperlink" Target="https://github.com/Morgan-DD/GitJournal/blob/master/Doc/Documentation_MorganDussault_GitJournal.docx" TargetMode="External"/><Relationship Id="rId42" Type="http://schemas.openxmlformats.org/officeDocument/2006/relationships/drawing" Target="../drawings/drawing4.xml"/><Relationship Id="rId47" Type="http://schemas.openxmlformats.org/officeDocument/2006/relationships/image" Target="../media/image8.emf"/><Relationship Id="rId7" Type="http://schemas.openxmlformats.org/officeDocument/2006/relationships/hyperlink" Target="https://github.com/Morgan-DD/GitJournal/tree/main/Doc/maquettes" TargetMode="External"/><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9" Type="http://schemas.openxmlformats.org/officeDocument/2006/relationships/hyperlink" Target="https://github.com/Morgan-DD/GitJournal/blob/master/Doc/Documentation_MorganDussault_GitJournal.docx" TargetMode="External"/><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hyperlink" Target="https://github.com/Morgan-DD/GitJournal/blob/master/Livrables/GitJournal.zip" TargetMode="External"/><Relationship Id="rId32" Type="http://schemas.openxmlformats.org/officeDocument/2006/relationships/hyperlink" Target="https://github.com/Morgan-DD/GitJournal/tree/master/Livrables" TargetMode="External"/><Relationship Id="rId37" Type="http://schemas.openxmlformats.org/officeDocument/2006/relationships/hyperlink" Target="https://github.com/Morgan-DD/GitJournal/tree/master/Livrables" TargetMode="External"/><Relationship Id="rId40" Type="http://schemas.openxmlformats.org/officeDocument/2006/relationships/hyperlink" Target="https://github.com/Morgan-DD/GitJournal/blob/master/Doc/Documentation_MorganDussault_GitJournal.docx" TargetMode="External"/><Relationship Id="rId45" Type="http://schemas.openxmlformats.org/officeDocument/2006/relationships/image" Target="../media/image7.emf"/><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hyperlink" Target="https://github.com/Morgan-DD/GitJournal/releases/latest" TargetMode="External"/><Relationship Id="rId28" Type="http://schemas.openxmlformats.org/officeDocument/2006/relationships/hyperlink" Target="https://github.com/Morgan-DD/GitJournal/blob/master/Doc/Documentation_MorganDussault_GitJournal.docx" TargetMode="External"/><Relationship Id="rId36" Type="http://schemas.openxmlformats.org/officeDocument/2006/relationships/hyperlink" Target="https://github.com/Morgan-DD/GitJournal/blob/master/Livrables/Gitj_compile.zip" TargetMode="External"/><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31" Type="http://schemas.openxmlformats.org/officeDocument/2006/relationships/hyperlink" Target="https://github.com/Morgan-DD/GitJournal/releases/latest" TargetMode="External"/><Relationship Id="rId44" Type="http://schemas.openxmlformats.org/officeDocument/2006/relationships/control" Target="../activeX/activeX6.xml"/><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hyperlink" Target="https://github.com/Morgan-DD/GitJournal/tree/master/Livrables" TargetMode="External"/><Relationship Id="rId30" Type="http://schemas.openxmlformats.org/officeDocument/2006/relationships/hyperlink" Target="https://github.com/Morgan-DD/GitJournal/blob/master/Doc/Documentation_MorganDussault_GitJournal.docx" TargetMode="External"/><Relationship Id="rId35" Type="http://schemas.openxmlformats.org/officeDocument/2006/relationships/hyperlink" Target="https://github.com/Morgan-DD/GitJournal/releases/latest" TargetMode="External"/><Relationship Id="rId43" Type="http://schemas.openxmlformats.org/officeDocument/2006/relationships/vmlDrawing" Target="../drawings/vmlDrawing4.vml"/><Relationship Id="rId8" Type="http://schemas.openxmlformats.org/officeDocument/2006/relationships/hyperlink" Target="https://github.com/Morgan-DD/GitJournal/issues" TargetMode="External"/><Relationship Id="rId3" Type="http://schemas.openxmlformats.org/officeDocument/2006/relationships/hyperlink" Target="https://github.com/Morgan-DD/GitJournal/issu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hyperlink" Target="https://github.com/Morgan-DD/GitJournal/releases/latest" TargetMode="External"/><Relationship Id="rId33" Type="http://schemas.openxmlformats.org/officeDocument/2006/relationships/hyperlink" Target="https://github.com/Morgan-DD/GitJournal/blob/master/Doc/Documentation_MorganDussault_GitJournal.docx" TargetMode="External"/><Relationship Id="rId38" Type="http://schemas.openxmlformats.org/officeDocument/2006/relationships/hyperlink" Target="https://github.com/Morgan-DD/GitJournal/blob/master/Doc/Documentation_MorganDussault_GitJournal.docx" TargetMode="External"/><Relationship Id="rId46" Type="http://schemas.openxmlformats.org/officeDocument/2006/relationships/control" Target="../activeX/activeX7.xml"/><Relationship Id="rId20" Type="http://schemas.openxmlformats.org/officeDocument/2006/relationships/hyperlink" Target="https://github.com/Morgan-DD/GitJournal/blob/master/Doc/Documentation_MorganDussault_GitJournal.docx" TargetMode="External"/><Relationship Id="rId4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0" zoomScale="70" zoomScaleNormal="70" workbookViewId="0">
      <selection activeCell="E45" sqref="E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7" t="s">
        <v>0</v>
      </c>
      <c r="C45" s="197"/>
      <c r="D45" s="197"/>
      <c r="E45" s="139" t="s">
        <v>174</v>
      </c>
      <c r="G45" s="198" t="s">
        <v>1</v>
      </c>
      <c r="H45" s="198"/>
      <c r="I45" s="198"/>
      <c r="J45" s="140" t="s">
        <v>175</v>
      </c>
      <c r="L45" s="199" t="s">
        <v>2</v>
      </c>
      <c r="M45" s="199"/>
      <c r="N45" s="200" t="s">
        <v>171</v>
      </c>
      <c r="O45" s="201"/>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ht="126.75" customHeigh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IO99"/>
  <sheetViews>
    <sheetView showGridLines="0" topLeftCell="A58" zoomScale="55" zoomScaleNormal="55" zoomScaleSheetLayoutView="43" workbookViewId="0">
      <selection activeCell="F94" sqref="F94:BHE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566" ht="35.1" customHeight="1" x14ac:dyDescent="0.25">
      <c r="B1" s="141"/>
      <c r="C1" s="233" t="s">
        <v>3</v>
      </c>
      <c r="D1" s="233"/>
      <c r="E1" s="23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5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566"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566"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566"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566"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566" ht="20.100000000000001" customHeight="1" thickBot="1" x14ac:dyDescent="0.3">
      <c r="B7" s="51"/>
      <c r="C7" s="234"/>
      <c r="D7" s="234"/>
      <c r="E7" s="23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566"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566" ht="30" customHeight="1" x14ac:dyDescent="0.25">
      <c r="B9" s="51"/>
      <c r="C9" s="9" t="s">
        <v>13</v>
      </c>
      <c r="D9" s="114"/>
      <c r="E9" s="10" t="s">
        <v>14</v>
      </c>
      <c r="F9" s="11"/>
      <c r="G9" s="231" t="str">
        <f>E96</f>
        <v>116h 40 min</v>
      </c>
      <c r="H9" s="231"/>
      <c r="I9" s="231"/>
      <c r="J9" s="231"/>
      <c r="K9" s="231"/>
      <c r="L9" s="231"/>
      <c r="M9" s="231"/>
      <c r="N9" s="231"/>
      <c r="O9" s="231"/>
      <c r="P9" s="231"/>
      <c r="Q9" s="231"/>
      <c r="R9" s="231"/>
      <c r="S9" s="231"/>
      <c r="T9" s="231"/>
      <c r="U9" s="231"/>
      <c r="V9" s="94"/>
      <c r="W9" s="232" t="s">
        <v>15</v>
      </c>
      <c r="X9" s="232"/>
      <c r="Y9" s="232"/>
      <c r="Z9" s="232"/>
      <c r="AA9" s="232"/>
      <c r="AB9" s="232"/>
      <c r="AC9" s="232"/>
      <c r="AD9" s="232"/>
      <c r="AE9" s="232"/>
      <c r="AF9" s="232"/>
      <c r="AG9" s="232"/>
      <c r="AH9" s="231" t="str">
        <f>E98</f>
        <v>201h 45 min</v>
      </c>
      <c r="AI9" s="231"/>
      <c r="AJ9" s="231"/>
      <c r="AK9" s="231"/>
      <c r="AL9" s="231"/>
      <c r="AM9" s="231"/>
      <c r="AN9" s="231"/>
      <c r="AO9" s="231"/>
      <c r="AP9" s="231"/>
      <c r="AQ9" s="231"/>
      <c r="AR9" s="231"/>
      <c r="AS9" s="231"/>
      <c r="AT9" s="231"/>
      <c r="AU9" s="231"/>
      <c r="AV9" s="231"/>
      <c r="AW9" s="231"/>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5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75"/>
      <c r="CR10" s="229"/>
      <c r="CS10" s="229"/>
      <c r="CT10" s="229"/>
      <c r="CU10" s="229"/>
      <c r="CV10" s="229"/>
      <c r="CW10" s="229"/>
      <c r="CX10" s="229"/>
      <c r="CY10" s="229"/>
      <c r="CZ10" s="229"/>
      <c r="DA10" s="229"/>
      <c r="DB10" s="229"/>
      <c r="DC10" s="229"/>
      <c r="DD10" s="229"/>
      <c r="DE10" s="229"/>
      <c r="DF10" s="229"/>
      <c r="DG10" s="229"/>
      <c r="DH10" s="229"/>
      <c r="DI10" s="229"/>
      <c r="DJ10" s="229"/>
      <c r="DK10" s="229"/>
      <c r="DL10" s="229"/>
      <c r="DM10" s="229"/>
      <c r="DN10" s="229"/>
      <c r="DO10" s="229"/>
      <c r="DP10" s="229"/>
      <c r="DQ10" s="229"/>
      <c r="DR10" s="229"/>
      <c r="DS10" s="229"/>
      <c r="DT10" s="229"/>
      <c r="DU10" s="229"/>
      <c r="DV10" s="229"/>
      <c r="DW10" s="229"/>
      <c r="DX10" s="229"/>
      <c r="DY10" s="229"/>
      <c r="DZ10" s="229"/>
      <c r="EA10" s="229"/>
      <c r="EB10" s="229"/>
      <c r="EC10" s="229"/>
      <c r="ED10" s="229"/>
      <c r="EE10" s="229"/>
      <c r="EF10" s="229"/>
      <c r="EG10" s="229"/>
      <c r="EH10" s="229"/>
      <c r="EI10" s="229"/>
      <c r="EJ10" s="229"/>
      <c r="EK10" s="229"/>
      <c r="EL10" s="229"/>
      <c r="EM10" s="229"/>
      <c r="EN10" s="229"/>
      <c r="EO10" s="229"/>
      <c r="EP10" s="229"/>
      <c r="EQ10" s="229"/>
      <c r="ER10" s="229"/>
      <c r="ES10" s="229"/>
      <c r="ET10" s="229"/>
      <c r="EU10" s="229"/>
      <c r="EV10" s="229"/>
      <c r="EW10" s="229"/>
      <c r="EX10" s="229"/>
      <c r="EY10" s="229"/>
      <c r="EZ10" s="229"/>
      <c r="FA10" s="229"/>
      <c r="FB10" s="229"/>
      <c r="FC10" s="229"/>
      <c r="FD10" s="229"/>
      <c r="FE10" s="229"/>
      <c r="FF10" s="229"/>
      <c r="FG10" s="229"/>
      <c r="FH10" s="229"/>
      <c r="FI10" s="229"/>
      <c r="FJ10" s="229"/>
      <c r="FK10" s="229"/>
      <c r="FL10" s="229"/>
      <c r="FM10" s="229"/>
      <c r="FN10" s="229"/>
      <c r="FO10" s="229"/>
      <c r="FP10" s="229"/>
      <c r="FQ10" s="229"/>
      <c r="FR10" s="229"/>
      <c r="FS10" s="229"/>
      <c r="FT10" s="229"/>
      <c r="FU10" s="229"/>
      <c r="FV10" s="229"/>
      <c r="FW10" s="229"/>
      <c r="FX10" s="229"/>
      <c r="FY10" s="229"/>
      <c r="FZ10" s="229"/>
      <c r="GA10" s="229"/>
      <c r="GB10" s="229"/>
      <c r="GC10" s="229"/>
      <c r="GD10" s="229"/>
      <c r="GE10" s="229"/>
      <c r="GF10" s="229"/>
      <c r="GG10" s="229"/>
      <c r="GH10" s="229"/>
      <c r="GI10" s="229"/>
      <c r="GJ10" s="229"/>
      <c r="GK10" s="229"/>
      <c r="GL10" s="229"/>
      <c r="GM10" s="229"/>
      <c r="GN10" s="229"/>
      <c r="GO10" s="229"/>
      <c r="GP10" s="229"/>
      <c r="GQ10" s="229"/>
      <c r="GR10" s="229"/>
      <c r="GS10" s="229"/>
      <c r="GT10" s="229"/>
      <c r="GU10" s="229"/>
      <c r="GV10" s="229"/>
      <c r="GW10" s="229"/>
      <c r="GX10" s="229"/>
      <c r="GY10" s="229"/>
      <c r="GZ10" s="229"/>
      <c r="HA10" s="229"/>
      <c r="HB10" s="229"/>
      <c r="HC10" s="229"/>
      <c r="HD10" s="229"/>
      <c r="HE10" s="229"/>
      <c r="HF10" s="229"/>
      <c r="HG10" s="229"/>
      <c r="HH10" s="229"/>
      <c r="HI10" s="229"/>
      <c r="HJ10" s="229"/>
      <c r="HK10" s="229"/>
      <c r="HL10" s="229"/>
      <c r="HM10" s="229"/>
      <c r="HN10" s="229"/>
      <c r="HO10" s="229"/>
      <c r="HP10" s="229"/>
      <c r="HQ10" s="229"/>
      <c r="HR10" s="229"/>
      <c r="HS10" s="229"/>
      <c r="HT10" s="229"/>
      <c r="HU10" s="229"/>
      <c r="HV10" s="229"/>
      <c r="HW10" s="229"/>
      <c r="HX10" s="229"/>
      <c r="HY10" s="229"/>
      <c r="HZ10" s="229"/>
      <c r="IA10" s="229"/>
      <c r="IB10" s="229"/>
      <c r="IC10" s="229"/>
      <c r="ID10" s="229"/>
      <c r="IE10" s="229"/>
      <c r="IF10" s="229"/>
      <c r="IG10" s="229"/>
      <c r="IH10" s="229"/>
      <c r="II10" s="229"/>
      <c r="IJ10" s="229"/>
      <c r="IK10" s="229"/>
      <c r="IL10" s="229"/>
      <c r="IM10" s="229"/>
      <c r="IN10" s="229"/>
      <c r="IO10" s="229"/>
      <c r="IP10" s="229"/>
      <c r="IQ10" s="229"/>
      <c r="IR10" s="229"/>
      <c r="IS10" s="229"/>
      <c r="IT10" s="229"/>
      <c r="IU10" s="229"/>
      <c r="IV10" s="229"/>
      <c r="IW10" s="229"/>
      <c r="IX10" s="229"/>
      <c r="IY10" s="229"/>
      <c r="IZ10" s="229"/>
      <c r="JA10" s="229"/>
      <c r="JB10" s="229"/>
      <c r="JC10" s="229"/>
      <c r="JD10" s="229"/>
      <c r="JE10" s="229"/>
      <c r="JF10" s="229"/>
      <c r="JG10" s="229"/>
      <c r="JH10" s="229"/>
      <c r="JI10" s="229"/>
      <c r="JJ10" s="229"/>
      <c r="JK10" s="229"/>
      <c r="JL10" s="229"/>
      <c r="JM10" s="229"/>
      <c r="JN10" s="229"/>
      <c r="JO10" s="229"/>
      <c r="JP10" s="229"/>
      <c r="JQ10" s="229"/>
      <c r="JR10" s="229"/>
      <c r="JS10" s="229"/>
      <c r="JT10" s="229"/>
      <c r="JU10" s="229"/>
      <c r="JV10" s="229"/>
      <c r="JW10" s="229"/>
      <c r="JX10" s="229"/>
      <c r="JY10" s="229"/>
      <c r="JZ10" s="229"/>
      <c r="KA10" s="229"/>
      <c r="KB10" s="229"/>
      <c r="KC10" s="229"/>
      <c r="KD10" s="229"/>
      <c r="KE10" s="229"/>
      <c r="KF10" s="229"/>
      <c r="KG10" s="229"/>
      <c r="KH10" s="229"/>
      <c r="KI10" s="229"/>
      <c r="KJ10" s="229"/>
      <c r="KK10" s="229"/>
      <c r="KL10" s="229"/>
      <c r="KM10" s="229"/>
      <c r="KN10" s="229"/>
      <c r="KO10" s="229"/>
      <c r="KP10" s="229"/>
      <c r="KQ10" s="229"/>
      <c r="KR10" s="229"/>
      <c r="KS10" s="229"/>
      <c r="KT10" s="229"/>
      <c r="KU10" s="229"/>
      <c r="KV10" s="229"/>
      <c r="KW10" s="229"/>
      <c r="KX10" s="229"/>
      <c r="KY10" s="229"/>
      <c r="KZ10" s="229"/>
      <c r="LA10" s="229"/>
      <c r="LB10" s="229"/>
      <c r="LC10" s="229"/>
      <c r="LD10" s="229"/>
      <c r="LE10" s="229"/>
      <c r="LF10" s="229"/>
      <c r="LG10" s="229"/>
      <c r="LH10" s="229"/>
      <c r="LI10" s="229"/>
      <c r="LJ10" s="229"/>
      <c r="LK10" s="229"/>
      <c r="LL10" s="229"/>
      <c r="LM10" s="229"/>
      <c r="LN10" s="229"/>
      <c r="LO10" s="229"/>
      <c r="LP10" s="229"/>
      <c r="LQ10" s="229"/>
      <c r="LR10" s="229"/>
      <c r="LS10" s="229"/>
      <c r="LT10" s="229"/>
      <c r="LU10" s="229"/>
      <c r="LV10" s="229"/>
      <c r="LW10" s="229"/>
      <c r="LX10" s="229"/>
      <c r="LY10" s="229"/>
      <c r="LZ10" s="229"/>
      <c r="MA10" s="229"/>
      <c r="MB10" s="229"/>
      <c r="MC10" s="229"/>
      <c r="MD10" s="229"/>
      <c r="ME10" s="229"/>
      <c r="MF10" s="229"/>
      <c r="MG10" s="229"/>
      <c r="MH10" s="229"/>
      <c r="MI10" s="229"/>
      <c r="MJ10" s="229"/>
      <c r="MK10" s="229"/>
      <c r="ML10" s="229"/>
      <c r="MM10" s="229"/>
      <c r="MN10" s="229"/>
      <c r="MO10" s="229"/>
      <c r="MP10" s="229"/>
      <c r="MQ10" s="229"/>
      <c r="MR10" s="229"/>
      <c r="MS10" s="229"/>
      <c r="MT10" s="229"/>
      <c r="MU10" s="229"/>
      <c r="MV10" s="229"/>
      <c r="MW10" s="229"/>
      <c r="MX10" s="229"/>
      <c r="MY10" s="229"/>
      <c r="MZ10" s="229"/>
      <c r="NA10" s="229"/>
      <c r="NB10" s="229"/>
      <c r="NC10" s="229"/>
      <c r="ND10" s="229"/>
      <c r="NE10" s="229"/>
      <c r="NF10" s="229"/>
      <c r="NG10" s="229"/>
      <c r="NH10" s="229"/>
      <c r="NI10" s="229"/>
      <c r="NJ10" s="229"/>
      <c r="NK10" s="229"/>
      <c r="NL10" s="229"/>
      <c r="NM10" s="229"/>
      <c r="NN10" s="229"/>
      <c r="NO10" s="229"/>
      <c r="NP10" s="229"/>
      <c r="NQ10" s="229"/>
      <c r="NR10" s="229"/>
      <c r="NS10" s="229"/>
      <c r="NT10" s="229"/>
      <c r="NU10" s="229"/>
      <c r="NV10" s="229"/>
      <c r="NW10" s="229"/>
      <c r="NX10" s="229"/>
      <c r="NY10" s="229"/>
      <c r="NZ10" s="229"/>
      <c r="OA10" s="229"/>
      <c r="OB10" s="229"/>
      <c r="OC10" s="229"/>
      <c r="OD10" s="229"/>
      <c r="OE10" s="229"/>
      <c r="OF10" s="229"/>
      <c r="OG10" s="229"/>
      <c r="OH10" s="229"/>
      <c r="OI10" s="229"/>
      <c r="OJ10" s="229"/>
      <c r="OK10" s="229"/>
      <c r="OL10" s="229"/>
      <c r="OM10" s="229"/>
      <c r="ON10" s="229"/>
      <c r="OO10" s="229"/>
      <c r="OP10" s="229"/>
      <c r="OQ10" s="229"/>
      <c r="OR10" s="229"/>
      <c r="OS10" s="229"/>
      <c r="OT10" s="229"/>
      <c r="OU10" s="229"/>
      <c r="OV10" s="229"/>
      <c r="OW10" s="229"/>
      <c r="OX10" s="229"/>
      <c r="OY10" s="229"/>
      <c r="OZ10" s="229"/>
      <c r="PA10" s="229"/>
      <c r="PB10" s="229"/>
      <c r="PC10" s="229"/>
      <c r="PD10" s="229"/>
      <c r="PE10" s="229"/>
      <c r="PF10" s="229"/>
      <c r="PG10" s="229"/>
      <c r="PH10" s="229"/>
      <c r="PI10" s="229"/>
      <c r="PJ10" s="229"/>
      <c r="PK10" s="229"/>
      <c r="PL10" s="229"/>
      <c r="PM10" s="229"/>
      <c r="PN10" s="229"/>
      <c r="PO10" s="229"/>
      <c r="PP10" s="229"/>
      <c r="PQ10" s="229"/>
      <c r="PR10" s="229"/>
      <c r="PS10" s="229"/>
      <c r="PT10" s="229"/>
      <c r="PU10" s="229"/>
      <c r="PV10" s="229"/>
      <c r="PW10" s="229"/>
      <c r="PX10" s="229"/>
      <c r="PY10" s="229"/>
      <c r="PZ10" s="229"/>
      <c r="QA10" s="229"/>
      <c r="QB10" s="229"/>
      <c r="QC10" s="229"/>
      <c r="QD10" s="229"/>
      <c r="QE10" s="229"/>
      <c r="QF10" s="229"/>
      <c r="QG10" s="229"/>
      <c r="QH10" s="229"/>
      <c r="QI10" s="229"/>
      <c r="QJ10" s="229"/>
      <c r="QK10" s="229"/>
      <c r="QL10" s="229"/>
      <c r="QM10" s="229"/>
      <c r="QN10" s="229"/>
      <c r="QO10" s="229"/>
      <c r="QP10" s="229"/>
      <c r="QQ10" s="229"/>
      <c r="QR10" s="229"/>
      <c r="QS10" s="229"/>
      <c r="QT10" s="229"/>
      <c r="QU10" s="229"/>
      <c r="QV10" s="229"/>
      <c r="QW10" s="229"/>
      <c r="QX10" s="229"/>
      <c r="QY10" s="229"/>
      <c r="QZ10" s="229"/>
      <c r="RA10" s="229"/>
      <c r="RB10" s="229"/>
      <c r="RC10" s="229"/>
      <c r="RD10" s="229"/>
      <c r="RE10" s="229"/>
      <c r="RF10" s="229"/>
      <c r="RG10" s="229"/>
      <c r="RH10" s="229"/>
      <c r="RI10" s="229"/>
      <c r="RJ10" s="229"/>
      <c r="RK10" s="229"/>
      <c r="RL10" s="229"/>
      <c r="RM10" s="229"/>
      <c r="RN10" s="229"/>
      <c r="RO10" s="229"/>
      <c r="RP10" s="229"/>
      <c r="RQ10" s="229"/>
      <c r="RR10" s="229"/>
      <c r="RS10" s="229"/>
      <c r="RT10" s="229"/>
      <c r="RU10" s="229"/>
      <c r="RV10" s="229"/>
      <c r="RW10" s="229"/>
      <c r="RX10" s="229"/>
      <c r="RY10" s="229"/>
      <c r="RZ10" s="229"/>
      <c r="SA10" s="229"/>
      <c r="SB10" s="229"/>
      <c r="SC10" s="229"/>
      <c r="SD10" s="229"/>
      <c r="SE10" s="229"/>
      <c r="SF10" s="229"/>
      <c r="SG10" s="229"/>
      <c r="SH10" s="229"/>
      <c r="SI10" s="229"/>
      <c r="SJ10" s="229"/>
      <c r="SK10" s="229"/>
      <c r="SL10" s="229"/>
      <c r="SM10" s="229"/>
      <c r="SN10" s="229"/>
      <c r="SO10" s="229"/>
      <c r="SP10" s="229"/>
      <c r="SQ10" s="229"/>
      <c r="SR10" s="229"/>
      <c r="SS10" s="229"/>
      <c r="ST10" s="229"/>
      <c r="SU10" s="229"/>
      <c r="SV10" s="229"/>
      <c r="SW10" s="229"/>
      <c r="SX10" s="229"/>
      <c r="SY10" s="229"/>
      <c r="SZ10" s="229"/>
      <c r="TA10" s="229"/>
      <c r="TB10" s="229"/>
      <c r="TC10" s="229"/>
      <c r="TD10" s="229"/>
      <c r="TE10" s="229"/>
      <c r="TF10" s="229"/>
      <c r="TG10" s="229"/>
      <c r="TH10" s="229"/>
      <c r="TI10" s="229"/>
      <c r="TJ10" s="229"/>
      <c r="TK10" s="229"/>
      <c r="TL10" s="229"/>
      <c r="TM10" s="229"/>
      <c r="TN10" s="229"/>
      <c r="TO10" s="229"/>
      <c r="TP10" s="229"/>
      <c r="TQ10" s="229"/>
      <c r="TR10" s="229"/>
      <c r="TS10" s="229"/>
      <c r="TT10" s="229"/>
      <c r="TU10" s="229"/>
      <c r="TV10" s="229"/>
      <c r="TW10" s="229"/>
      <c r="TX10" s="229"/>
      <c r="TY10" s="229"/>
      <c r="TZ10" s="229"/>
      <c r="UA10" s="229"/>
      <c r="UB10" s="229"/>
      <c r="UC10" s="229"/>
      <c r="UD10" s="229"/>
      <c r="UE10" s="229"/>
      <c r="UF10" s="229"/>
      <c r="UG10" s="229"/>
      <c r="UH10" s="229"/>
      <c r="UI10" s="229"/>
      <c r="UJ10" s="229"/>
      <c r="UK10" s="229"/>
      <c r="UL10" s="229"/>
      <c r="UM10" s="229"/>
      <c r="UN10" s="229"/>
      <c r="UO10" s="229"/>
      <c r="UP10" s="229"/>
      <c r="UQ10" s="229"/>
      <c r="UR10" s="229"/>
      <c r="US10" s="229"/>
      <c r="UT10" s="229"/>
      <c r="UU10" s="229"/>
      <c r="UV10" s="229"/>
      <c r="UW10" s="229"/>
      <c r="UX10" s="229"/>
      <c r="UY10" s="229"/>
      <c r="UZ10" s="229"/>
      <c r="VA10" s="229"/>
      <c r="VB10" s="229"/>
      <c r="VC10" s="229"/>
      <c r="VD10" s="229"/>
      <c r="VE10" s="229"/>
      <c r="VF10" s="229"/>
      <c r="VG10" s="229"/>
      <c r="VH10" s="229"/>
      <c r="VI10" s="229"/>
      <c r="VJ10" s="229"/>
      <c r="VK10" s="229"/>
      <c r="VL10" s="229"/>
      <c r="VM10" s="229"/>
      <c r="VN10" s="229"/>
      <c r="VO10" s="229"/>
      <c r="VP10" s="229"/>
      <c r="VQ10" s="229"/>
      <c r="VR10" s="229"/>
      <c r="VS10" s="229"/>
      <c r="VT10" s="229"/>
      <c r="VU10" s="229"/>
      <c r="VV10" s="229"/>
      <c r="VW10" s="229"/>
      <c r="VX10" s="229"/>
      <c r="VY10" s="229"/>
      <c r="VZ10" s="229"/>
      <c r="WA10" s="229"/>
      <c r="WB10" s="229"/>
      <c r="WC10" s="229"/>
      <c r="WD10" s="229"/>
      <c r="WE10" s="229"/>
      <c r="WF10" s="229"/>
      <c r="WG10" s="229"/>
      <c r="WH10" s="229"/>
      <c r="WI10" s="229"/>
      <c r="WJ10" s="229"/>
      <c r="WK10" s="229"/>
      <c r="WL10" s="229"/>
      <c r="WM10" s="229"/>
      <c r="WN10" s="229"/>
      <c r="WO10" s="229"/>
      <c r="WP10" s="229"/>
      <c r="WQ10" s="229"/>
      <c r="WR10" s="229"/>
      <c r="WS10" s="229"/>
      <c r="WT10" s="229"/>
      <c r="WU10" s="229"/>
      <c r="WV10" s="229"/>
      <c r="WW10" s="229"/>
      <c r="WX10" s="229"/>
      <c r="WY10" s="229"/>
      <c r="WZ10" s="229"/>
      <c r="XA10" s="229"/>
      <c r="XB10" s="229"/>
      <c r="XC10" s="229"/>
      <c r="XD10" s="229"/>
      <c r="XE10" s="229"/>
      <c r="XF10" s="229"/>
      <c r="XG10" s="229"/>
      <c r="XH10" s="229"/>
      <c r="XI10" s="229"/>
      <c r="XJ10" s="229"/>
      <c r="XK10" s="229"/>
      <c r="XL10" s="229"/>
      <c r="XM10" s="229"/>
      <c r="XN10" s="229"/>
      <c r="XO10" s="229"/>
      <c r="XP10" s="229"/>
      <c r="XQ10" s="229"/>
      <c r="XR10" s="229"/>
      <c r="XS10" s="229"/>
      <c r="XT10" s="229"/>
      <c r="XU10" s="229"/>
      <c r="XV10" s="229"/>
      <c r="XW10" s="229"/>
      <c r="XX10" s="229"/>
      <c r="XY10" s="229"/>
      <c r="XZ10" s="229"/>
      <c r="YA10" s="229"/>
      <c r="YB10" s="229"/>
      <c r="YC10" s="229"/>
      <c r="YD10" s="229"/>
      <c r="YE10" s="229"/>
      <c r="YF10" s="229"/>
      <c r="YG10" s="229"/>
      <c r="YH10" s="229"/>
      <c r="YI10" s="229"/>
      <c r="YJ10" s="229"/>
      <c r="YK10" s="229"/>
      <c r="YL10" s="229"/>
      <c r="YM10" s="229"/>
      <c r="YN10" s="229"/>
      <c r="YO10" s="229"/>
      <c r="YP10" s="229"/>
      <c r="YQ10" s="229"/>
      <c r="YR10" s="229"/>
      <c r="YS10" s="229"/>
      <c r="YT10" s="229"/>
      <c r="YU10" s="229"/>
      <c r="YV10" s="229"/>
      <c r="YW10" s="229"/>
      <c r="YX10" s="229"/>
      <c r="YY10" s="229"/>
      <c r="YZ10" s="229"/>
      <c r="ZA10" s="229"/>
      <c r="ZB10" s="229"/>
      <c r="ZC10" s="229"/>
      <c r="ZD10" s="229"/>
      <c r="ZE10" s="229"/>
      <c r="ZF10" s="229"/>
      <c r="ZG10" s="229"/>
      <c r="ZH10" s="229"/>
      <c r="ZI10" s="229"/>
      <c r="ZJ10" s="229"/>
      <c r="ZK10" s="229"/>
      <c r="ZL10" s="229"/>
      <c r="ZM10" s="229"/>
      <c r="ZN10" s="229"/>
      <c r="ZO10" s="229"/>
      <c r="ZP10" s="229"/>
      <c r="ZQ10" s="229"/>
      <c r="ZR10" s="229"/>
      <c r="ZS10" s="229"/>
      <c r="ZT10" s="229"/>
      <c r="ZU10" s="229"/>
      <c r="ZV10" s="229"/>
      <c r="ZW10" s="229"/>
      <c r="ZX10" s="229"/>
      <c r="ZY10" s="229"/>
      <c r="ZZ10" s="229"/>
      <c r="AAA10" s="229"/>
      <c r="AAB10" s="229"/>
      <c r="AAC10" s="229"/>
      <c r="AAD10" s="229"/>
      <c r="AAE10" s="229"/>
      <c r="AAF10" s="229"/>
      <c r="AAG10" s="229"/>
      <c r="AAH10" s="229"/>
      <c r="AAI10" s="229"/>
      <c r="AAJ10" s="229"/>
      <c r="AAK10" s="229"/>
      <c r="AAL10" s="229"/>
      <c r="AAM10" s="229"/>
      <c r="AAN10" s="229"/>
      <c r="AAO10" s="229"/>
      <c r="AAP10" s="229"/>
      <c r="AAQ10" s="229"/>
      <c r="AAR10" s="229"/>
      <c r="AAS10" s="229"/>
      <c r="AAT10" s="229"/>
      <c r="AAU10" s="229"/>
      <c r="AAV10" s="229"/>
      <c r="AAW10" s="229"/>
      <c r="AAX10" s="229"/>
      <c r="AAY10" s="229"/>
      <c r="AAZ10" s="229"/>
      <c r="ABA10" s="229"/>
      <c r="ABB10" s="229"/>
      <c r="ABC10" s="229"/>
      <c r="ABD10" s="229"/>
      <c r="ABE10" s="229"/>
      <c r="ABF10" s="229"/>
      <c r="ABG10" s="229"/>
      <c r="ABH10" s="229"/>
      <c r="ABI10" s="229"/>
      <c r="ABJ10" s="229"/>
      <c r="ABK10" s="229"/>
      <c r="ABL10" s="229"/>
      <c r="ABM10" s="229"/>
      <c r="ABN10" s="229"/>
      <c r="ABO10" s="229"/>
      <c r="ABP10" s="229"/>
      <c r="ABQ10" s="229"/>
      <c r="ABR10" s="229"/>
      <c r="ABS10" s="229"/>
      <c r="ABT10" s="229"/>
      <c r="ABU10" s="229"/>
      <c r="ABV10" s="229"/>
      <c r="ABW10" s="229"/>
      <c r="ABX10" s="229"/>
      <c r="ABY10" s="229"/>
      <c r="ABZ10" s="229"/>
      <c r="ACA10" s="229"/>
      <c r="ACB10" s="229"/>
      <c r="ACC10" s="229"/>
      <c r="ACD10" s="229"/>
      <c r="ACE10" s="229"/>
      <c r="ACF10" s="229"/>
      <c r="ACG10" s="229"/>
      <c r="ACH10" s="229"/>
      <c r="ACI10" s="229"/>
      <c r="ACJ10" s="229"/>
      <c r="ACK10" s="229"/>
      <c r="ACL10" s="229"/>
      <c r="ACM10" s="229"/>
      <c r="ACN10" s="229"/>
      <c r="ACO10" s="229"/>
      <c r="ACP10" s="229"/>
      <c r="ACQ10" s="229"/>
      <c r="ACR10" s="229"/>
      <c r="ACS10" s="229"/>
      <c r="ACT10" s="229"/>
      <c r="ACU10" s="229"/>
      <c r="ACV10" s="229"/>
      <c r="ACW10" s="229"/>
      <c r="ACX10" s="229"/>
      <c r="ACY10" s="229"/>
      <c r="ACZ10" s="229"/>
      <c r="ADA10" s="229"/>
      <c r="ADB10" s="229"/>
      <c r="ADC10" s="229"/>
      <c r="ADD10" s="229"/>
      <c r="ADE10" s="229"/>
      <c r="ADF10" s="229"/>
      <c r="ADG10" s="229"/>
      <c r="ADH10" s="229"/>
      <c r="ADI10" s="229"/>
      <c r="ADJ10" s="229"/>
      <c r="ADK10" s="229"/>
      <c r="ADL10" s="229"/>
      <c r="ADM10" s="229"/>
      <c r="ADN10" s="229"/>
      <c r="ADO10" s="229"/>
      <c r="ADP10" s="229"/>
      <c r="ADQ10" s="229"/>
      <c r="ADR10" s="229"/>
      <c r="ADS10" s="229"/>
      <c r="ADT10" s="229"/>
      <c r="ADU10" s="229"/>
      <c r="ADV10" s="229"/>
      <c r="ADW10" s="229"/>
      <c r="ADX10" s="229"/>
      <c r="ADY10" s="229"/>
      <c r="ADZ10" s="229"/>
      <c r="AEA10" s="229"/>
      <c r="AEB10" s="229"/>
      <c r="AEC10" s="229"/>
      <c r="AED10" s="229"/>
      <c r="AEE10" s="229"/>
      <c r="AEF10" s="229"/>
      <c r="AEG10" s="229"/>
      <c r="AEH10" s="229"/>
      <c r="AEI10" s="229"/>
      <c r="AEJ10" s="229"/>
      <c r="AEK10" s="229"/>
      <c r="AEL10" s="229"/>
      <c r="AEM10" s="229"/>
      <c r="AEN10" s="229"/>
      <c r="AEO10" s="229"/>
      <c r="AEP10" s="229"/>
      <c r="AEQ10" s="229"/>
      <c r="AER10" s="229"/>
      <c r="AES10" s="229"/>
      <c r="AET10" s="229"/>
      <c r="AEU10" s="229"/>
      <c r="AEV10" s="229"/>
      <c r="AEW10" s="229"/>
      <c r="AEX10" s="229"/>
      <c r="AEY10" s="229"/>
      <c r="AEZ10" s="229"/>
      <c r="AFA10" s="229"/>
      <c r="AFB10" s="229"/>
      <c r="AFC10" s="229"/>
      <c r="AFD10" s="229"/>
      <c r="AFE10" s="229"/>
      <c r="AFF10" s="229"/>
      <c r="AFG10" s="229"/>
      <c r="AFH10" s="229"/>
      <c r="AFI10" s="229"/>
      <c r="AFJ10" s="229"/>
      <c r="AFK10" s="229"/>
      <c r="AFL10" s="229"/>
      <c r="AFM10" s="229"/>
      <c r="AFN10" s="229"/>
      <c r="AFO10" s="229"/>
      <c r="AFP10" s="229"/>
      <c r="AFQ10" s="229"/>
      <c r="AFR10" s="229"/>
      <c r="AFS10" s="229"/>
      <c r="AFT10" s="229"/>
      <c r="AFU10" s="229"/>
      <c r="AFV10" s="229"/>
      <c r="AFW10" s="229"/>
      <c r="AFX10" s="229"/>
      <c r="AFY10" s="229"/>
      <c r="AFZ10" s="229"/>
      <c r="AGA10" s="229"/>
      <c r="AGB10" s="229"/>
      <c r="AGC10" s="229"/>
      <c r="AGD10" s="229"/>
      <c r="AGE10" s="229"/>
      <c r="AGF10" s="229"/>
      <c r="AGG10" s="229"/>
      <c r="AGH10" s="229"/>
      <c r="AGI10" s="229"/>
      <c r="AGJ10" s="229"/>
      <c r="AGK10" s="229"/>
      <c r="AGL10" s="229"/>
      <c r="AGM10" s="229"/>
      <c r="AGN10" s="229"/>
      <c r="AGO10" s="229"/>
      <c r="AGP10" s="229"/>
      <c r="AGQ10" s="229"/>
      <c r="AGR10" s="229"/>
      <c r="AGS10" s="229"/>
      <c r="AGT10" s="229"/>
      <c r="AGU10" s="229"/>
      <c r="AGV10" s="229"/>
      <c r="AGW10" s="229"/>
      <c r="AGX10" s="229"/>
      <c r="AGY10" s="229"/>
      <c r="AGZ10" s="229"/>
      <c r="AHA10" s="229"/>
      <c r="AHB10" s="229"/>
      <c r="AHC10" s="229"/>
      <c r="AHD10" s="229"/>
      <c r="AHE10" s="229"/>
      <c r="AHF10" s="229"/>
      <c r="AHG10" s="229"/>
      <c r="AHH10" s="229"/>
      <c r="AHI10" s="229"/>
      <c r="AHJ10" s="229"/>
      <c r="AHK10" s="229"/>
      <c r="AHL10" s="229"/>
      <c r="AHM10" s="229"/>
      <c r="AHN10" s="229"/>
      <c r="AHO10" s="229"/>
      <c r="AHP10" s="229"/>
      <c r="AHQ10" s="229"/>
      <c r="AHR10" s="229"/>
      <c r="AHS10" s="229"/>
      <c r="AHT10" s="229"/>
      <c r="AHU10" s="229"/>
      <c r="AHV10" s="229"/>
      <c r="AHW10" s="229"/>
      <c r="AHX10" s="229"/>
      <c r="AHY10" s="229"/>
      <c r="AHZ10" s="229"/>
      <c r="AIA10" s="229"/>
      <c r="AIB10" s="229"/>
      <c r="AIC10" s="229"/>
      <c r="AID10" s="229"/>
      <c r="AIE10" s="229"/>
      <c r="AIF10" s="229"/>
      <c r="AIG10" s="229"/>
      <c r="AIH10" s="229"/>
      <c r="AII10" s="229"/>
      <c r="AIJ10" s="229"/>
      <c r="AIK10" s="229"/>
      <c r="AIL10" s="229"/>
      <c r="AIM10" s="229"/>
      <c r="AIN10" s="229"/>
      <c r="AIO10" s="229"/>
      <c r="AIP10" s="229"/>
      <c r="AIQ10" s="229"/>
      <c r="AIR10" s="229"/>
      <c r="AIS10" s="229"/>
      <c r="AIT10" s="229"/>
      <c r="AIU10" s="229"/>
      <c r="AIV10" s="229"/>
      <c r="AIW10" s="229"/>
      <c r="AIX10" s="229"/>
      <c r="AIY10" s="229"/>
      <c r="AIZ10" s="229"/>
      <c r="AJA10" s="229"/>
      <c r="AJB10" s="229"/>
      <c r="AJC10" s="229"/>
      <c r="AJD10" s="229"/>
      <c r="AJE10" s="229"/>
      <c r="AJF10" s="229"/>
      <c r="AJG10" s="229"/>
      <c r="AJH10" s="229"/>
      <c r="AJI10" s="229"/>
      <c r="AJJ10" s="229"/>
      <c r="AJK10" s="229"/>
      <c r="AJL10" s="229"/>
      <c r="AJM10" s="229"/>
      <c r="AJN10" s="229"/>
      <c r="AJO10" s="229"/>
      <c r="AJP10" s="229"/>
      <c r="AJQ10" s="229"/>
      <c r="AJR10" s="229"/>
      <c r="AJS10" s="229"/>
      <c r="AJT10" s="229"/>
      <c r="AJU10" s="229"/>
      <c r="AJV10" s="229"/>
      <c r="AJW10" s="229"/>
      <c r="AJX10" s="229"/>
      <c r="AJY10" s="229"/>
      <c r="AJZ10" s="229"/>
      <c r="AKA10" s="229"/>
      <c r="AKB10" s="229"/>
      <c r="AKC10" s="229"/>
      <c r="AKD10" s="229"/>
      <c r="AKE10" s="229"/>
      <c r="AKF10" s="229"/>
      <c r="AKG10" s="229"/>
      <c r="AKH10" s="229"/>
      <c r="AKI10" s="229"/>
      <c r="AKJ10" s="229"/>
      <c r="AKK10" s="229"/>
      <c r="AKL10" s="229"/>
      <c r="AKM10" s="229"/>
      <c r="AKN10" s="229"/>
      <c r="AKO10" s="229"/>
      <c r="AKP10" s="229"/>
      <c r="AKQ10" s="229"/>
      <c r="AKR10" s="229"/>
      <c r="AKS10" s="229"/>
      <c r="AKT10" s="229"/>
      <c r="AKU10" s="229"/>
      <c r="AKV10" s="229"/>
      <c r="AKW10" s="229"/>
      <c r="AKX10" s="229"/>
      <c r="AKY10" s="229"/>
      <c r="AKZ10" s="229"/>
      <c r="ALA10" s="229"/>
      <c r="ALB10" s="229"/>
      <c r="ALC10" s="229"/>
      <c r="ALD10" s="229"/>
      <c r="ALE10" s="229"/>
      <c r="ALF10" s="229"/>
      <c r="ALG10" s="229"/>
      <c r="ALH10" s="229"/>
      <c r="ALI10" s="229"/>
      <c r="ALJ10" s="229"/>
      <c r="ALK10" s="229"/>
      <c r="ALL10" s="229"/>
      <c r="ALM10" s="229"/>
      <c r="ALN10" s="229"/>
      <c r="ALO10" s="229"/>
      <c r="ALP10" s="229"/>
      <c r="ALQ10" s="229"/>
      <c r="ALR10" s="229"/>
      <c r="ALS10" s="229"/>
      <c r="ALT10" s="229"/>
      <c r="ALU10" s="229"/>
      <c r="ALV10" s="229"/>
      <c r="ALW10" s="229"/>
      <c r="ALX10" s="229"/>
      <c r="ALY10" s="229"/>
      <c r="ALZ10" s="229"/>
      <c r="AMA10" s="229"/>
      <c r="AMB10" s="229"/>
      <c r="AMC10" s="229"/>
      <c r="AMD10" s="229"/>
      <c r="AME10" s="229"/>
      <c r="AMF10" s="229"/>
      <c r="AMG10" s="229"/>
      <c r="AMH10" s="229"/>
      <c r="AMI10" s="229"/>
      <c r="AMJ10" s="229"/>
      <c r="AMK10" s="229"/>
      <c r="AML10" s="229"/>
      <c r="AMM10" s="229"/>
      <c r="AMN10" s="229"/>
      <c r="AMO10" s="229"/>
      <c r="AMP10" s="229"/>
      <c r="AMQ10" s="229"/>
      <c r="AMR10" s="229"/>
      <c r="AMS10" s="229"/>
      <c r="AMT10" s="229"/>
      <c r="AMU10" s="229"/>
      <c r="AMV10" s="229"/>
      <c r="AMW10" s="229"/>
      <c r="AMX10" s="229"/>
      <c r="AMY10" s="229"/>
      <c r="AMZ10" s="229"/>
      <c r="ANA10" s="229"/>
      <c r="ANB10" s="229"/>
      <c r="ANC10" s="229"/>
      <c r="AND10" s="229"/>
      <c r="ANE10" s="229"/>
      <c r="ANF10" s="229"/>
      <c r="ANG10" s="229"/>
      <c r="ANH10" s="229"/>
      <c r="ANI10" s="229"/>
      <c r="ANJ10" s="229"/>
      <c r="ANK10" s="229"/>
      <c r="ANL10" s="229"/>
      <c r="ANM10" s="229"/>
      <c r="ANN10" s="229"/>
      <c r="ANO10" s="229"/>
      <c r="ANP10" s="229"/>
      <c r="ANQ10" s="229"/>
      <c r="ANR10" s="229"/>
      <c r="ANS10" s="229"/>
      <c r="ANT10" s="229"/>
      <c r="ANU10" s="229"/>
      <c r="ANV10" s="229"/>
      <c r="ANW10" s="229"/>
      <c r="ANX10" s="229"/>
      <c r="ANY10" s="229"/>
      <c r="ANZ10" s="229"/>
      <c r="AOA10" s="229"/>
      <c r="AOB10" s="229"/>
      <c r="AOC10" s="229"/>
      <c r="AOD10" s="229"/>
      <c r="AOE10" s="229"/>
      <c r="AOF10" s="229"/>
      <c r="AOG10" s="229"/>
      <c r="AOH10" s="229"/>
      <c r="AOI10" s="229"/>
      <c r="AOJ10" s="229"/>
      <c r="AOK10" s="229"/>
      <c r="AOL10" s="229"/>
      <c r="AOM10" s="229"/>
      <c r="AON10" s="229"/>
      <c r="AOO10" s="229"/>
      <c r="AOP10" s="229"/>
      <c r="AOQ10" s="229"/>
      <c r="AOR10" s="229"/>
      <c r="AOS10" s="229"/>
      <c r="AOT10" s="229"/>
      <c r="AOU10" s="229"/>
      <c r="AOV10" s="229"/>
      <c r="AOW10" s="229"/>
      <c r="AOX10" s="229"/>
      <c r="AOY10" s="229"/>
      <c r="AOZ10" s="229"/>
      <c r="APA10" s="229"/>
      <c r="APB10" s="229"/>
      <c r="APC10" s="229"/>
      <c r="APD10" s="229"/>
      <c r="APE10" s="229"/>
      <c r="APF10" s="229"/>
      <c r="APG10" s="229"/>
      <c r="APH10" s="229"/>
      <c r="API10" s="229"/>
      <c r="APJ10" s="229"/>
      <c r="APK10" s="229"/>
      <c r="APL10" s="229"/>
      <c r="APM10" s="229"/>
      <c r="APN10" s="229"/>
      <c r="APO10" s="229"/>
      <c r="APP10" s="229"/>
      <c r="APQ10" s="229"/>
      <c r="APR10" s="229"/>
      <c r="APS10" s="229"/>
      <c r="APT10" s="229"/>
      <c r="APU10" s="229"/>
      <c r="APV10" s="229"/>
      <c r="APW10" s="229"/>
      <c r="APX10" s="229"/>
      <c r="APY10" s="229"/>
      <c r="APZ10" s="229"/>
      <c r="AQA10" s="229"/>
      <c r="AQB10" s="229"/>
      <c r="AQC10" s="229"/>
      <c r="AQD10" s="229"/>
      <c r="AQE10" s="229"/>
      <c r="AQF10" s="229"/>
      <c r="AQG10" s="229"/>
      <c r="AQH10" s="229"/>
      <c r="AQI10" s="229"/>
      <c r="AQJ10" s="229"/>
      <c r="AQK10" s="229"/>
      <c r="AQL10" s="229"/>
      <c r="AQM10" s="229"/>
      <c r="AQN10" s="229"/>
      <c r="AQO10" s="229"/>
      <c r="AQP10" s="229"/>
      <c r="AQQ10" s="229"/>
      <c r="AQR10" s="229"/>
      <c r="AQS10" s="229"/>
      <c r="AQT10" s="229"/>
      <c r="AQU10" s="229"/>
      <c r="AQV10" s="229"/>
      <c r="AQW10" s="229"/>
      <c r="AQX10" s="229"/>
      <c r="AQY10" s="229"/>
      <c r="AQZ10" s="229"/>
      <c r="ARA10" s="229"/>
      <c r="ARB10" s="229"/>
      <c r="ARC10" s="229"/>
      <c r="ARD10" s="229"/>
      <c r="ARE10" s="229"/>
      <c r="ARF10" s="229"/>
      <c r="ARG10" s="229"/>
      <c r="ARH10" s="229"/>
      <c r="ARI10" s="229"/>
      <c r="ARJ10" s="229"/>
      <c r="ARK10" s="229"/>
      <c r="ARL10" s="229"/>
      <c r="ARM10" s="229"/>
      <c r="ARN10" s="229"/>
      <c r="ARO10" s="229"/>
      <c r="ARP10" s="229"/>
      <c r="ARQ10" s="229"/>
      <c r="ARR10" s="229"/>
      <c r="ARS10" s="229"/>
      <c r="ART10" s="229"/>
      <c r="ARU10" s="229"/>
      <c r="ARV10" s="229"/>
      <c r="ARW10" s="229"/>
      <c r="ARX10" s="229"/>
      <c r="ARY10" s="229"/>
      <c r="ARZ10" s="229"/>
      <c r="ASA10" s="229"/>
      <c r="ASB10" s="229"/>
      <c r="ASC10" s="229"/>
      <c r="ASD10" s="229"/>
      <c r="ASE10" s="229"/>
      <c r="ASF10" s="229"/>
      <c r="ASG10" s="229"/>
      <c r="ASH10" s="229"/>
      <c r="ASI10" s="229"/>
      <c r="ASJ10" s="229"/>
      <c r="ASK10" s="229"/>
      <c r="ASL10" s="229"/>
      <c r="ASM10" s="229"/>
      <c r="ASN10" s="229"/>
      <c r="ASO10" s="229"/>
      <c r="ASP10" s="229"/>
      <c r="ASQ10" s="229"/>
      <c r="ASR10" s="229"/>
      <c r="ASS10" s="229"/>
      <c r="AST10" s="229"/>
      <c r="ASU10" s="229"/>
      <c r="ASV10" s="229"/>
      <c r="ASW10" s="229"/>
      <c r="ASX10" s="229"/>
      <c r="ASY10" s="229"/>
      <c r="ASZ10" s="229"/>
      <c r="ATA10" s="229"/>
      <c r="ATB10" s="229"/>
      <c r="ATC10" s="229"/>
      <c r="ATD10" s="229"/>
      <c r="ATE10" s="229"/>
      <c r="ATF10" s="229"/>
      <c r="ATG10" s="229"/>
      <c r="ATH10" s="229"/>
      <c r="ATI10" s="229"/>
      <c r="ATJ10" s="229"/>
      <c r="ATK10" s="229"/>
      <c r="ATL10" s="229"/>
      <c r="ATM10" s="229"/>
      <c r="ATN10" s="229"/>
      <c r="ATO10" s="229"/>
      <c r="ATP10" s="229"/>
      <c r="ATQ10" s="229"/>
      <c r="ATR10" s="229"/>
      <c r="ATS10" s="229"/>
      <c r="ATT10" s="229"/>
      <c r="ATU10" s="229"/>
      <c r="ATV10" s="229"/>
      <c r="ATW10" s="229"/>
      <c r="ATX10" s="229"/>
      <c r="ATY10" s="229"/>
      <c r="ATZ10" s="229"/>
      <c r="AUA10" s="229"/>
      <c r="AUB10" s="229"/>
      <c r="AUC10" s="229"/>
      <c r="AUD10" s="229"/>
      <c r="AUE10" s="229"/>
      <c r="AUF10" s="229"/>
      <c r="AUG10" s="229"/>
      <c r="AUH10" s="229"/>
      <c r="AUI10" s="229"/>
      <c r="AUJ10" s="229"/>
      <c r="AUK10" s="229"/>
      <c r="AUL10" s="229"/>
      <c r="AUM10" s="229"/>
      <c r="AUN10" s="229"/>
      <c r="AUO10" s="229"/>
      <c r="AUP10" s="229"/>
      <c r="AUQ10" s="229"/>
      <c r="AUR10" s="229"/>
      <c r="AUS10" s="229"/>
      <c r="AUT10" s="229"/>
      <c r="AUU10" s="229"/>
      <c r="AUV10" s="229"/>
      <c r="AUW10" s="229"/>
      <c r="AUX10" s="229"/>
      <c r="AUY10" s="229"/>
      <c r="AUZ10" s="229"/>
      <c r="AVA10" s="229"/>
      <c r="AVB10" s="229"/>
      <c r="AVC10" s="229"/>
      <c r="AVD10" s="229"/>
      <c r="AVE10" s="229"/>
      <c r="AVF10" s="229"/>
      <c r="AVG10" s="229"/>
      <c r="AVH10" s="229"/>
      <c r="AVI10" s="229"/>
      <c r="AVJ10" s="229"/>
      <c r="AVK10" s="229"/>
      <c r="AVL10" s="229"/>
      <c r="AVM10" s="229"/>
      <c r="AVN10" s="229"/>
      <c r="AVO10" s="229"/>
      <c r="AVP10" s="229"/>
      <c r="AVQ10" s="229"/>
      <c r="AVR10" s="229"/>
      <c r="AVS10" s="229"/>
      <c r="AVT10" s="229"/>
      <c r="AVU10" s="229"/>
      <c r="AVV10" s="229"/>
      <c r="AVW10" s="229"/>
      <c r="AVX10" s="229"/>
      <c r="AVY10" s="229"/>
      <c r="AVZ10" s="229"/>
      <c r="AWA10" s="229"/>
      <c r="AWB10" s="229"/>
      <c r="AWC10" s="229"/>
      <c r="AWD10" s="229"/>
      <c r="AWE10" s="229"/>
      <c r="AWF10" s="229"/>
      <c r="AWG10" s="229"/>
      <c r="AWH10" s="229"/>
      <c r="AWI10" s="229"/>
      <c r="AWJ10" s="229"/>
      <c r="AWK10" s="229"/>
      <c r="AWL10" s="229"/>
      <c r="AWM10" s="229"/>
      <c r="AWN10" s="229"/>
      <c r="AWO10" s="229"/>
      <c r="AWP10" s="229"/>
      <c r="AWQ10" s="229"/>
      <c r="AWR10" s="229"/>
      <c r="AWS10" s="229"/>
      <c r="AWT10" s="229"/>
      <c r="AWU10" s="229"/>
      <c r="AWV10" s="229"/>
      <c r="AWW10" s="229"/>
      <c r="AWX10" s="229"/>
      <c r="AWY10" s="229"/>
      <c r="AWZ10" s="229"/>
      <c r="AXA10" s="229"/>
      <c r="AXB10" s="229"/>
      <c r="AXC10" s="229"/>
      <c r="AXD10" s="229"/>
      <c r="AXE10" s="229"/>
      <c r="AXF10" s="229"/>
      <c r="AXG10" s="229"/>
      <c r="AXH10" s="229"/>
      <c r="AXI10" s="229"/>
      <c r="AXJ10" s="229"/>
      <c r="AXK10" s="229"/>
      <c r="AXL10" s="229"/>
      <c r="AXM10" s="229"/>
      <c r="AXN10" s="229"/>
      <c r="AXO10" s="229"/>
      <c r="AXP10" s="229"/>
      <c r="AXQ10" s="229"/>
      <c r="AXR10" s="229"/>
      <c r="AXS10" s="229"/>
      <c r="AXT10" s="229"/>
      <c r="AXU10" s="229"/>
      <c r="AXV10" s="229"/>
      <c r="AXW10" s="229"/>
      <c r="AXX10" s="229"/>
      <c r="AXY10" s="229"/>
      <c r="AXZ10" s="229"/>
      <c r="AYA10" s="229"/>
      <c r="AYB10" s="229"/>
      <c r="AYC10" s="229"/>
      <c r="AYD10" s="229"/>
      <c r="AYE10" s="229"/>
      <c r="AYF10" s="229"/>
      <c r="AYG10" s="229"/>
      <c r="AYH10" s="229"/>
      <c r="AYI10" s="229"/>
      <c r="AYJ10" s="229"/>
      <c r="AYK10" s="229"/>
      <c r="AYL10" s="229"/>
      <c r="AYM10" s="229"/>
      <c r="AYN10" s="229"/>
      <c r="AYO10" s="229"/>
      <c r="AYP10" s="229"/>
      <c r="AYQ10" s="229"/>
      <c r="AYR10" s="229"/>
      <c r="AYS10" s="229"/>
      <c r="AYT10" s="229"/>
      <c r="AYU10" s="229"/>
      <c r="AYV10" s="229"/>
      <c r="AYW10" s="229"/>
      <c r="AYX10" s="229"/>
      <c r="AYY10" s="229"/>
      <c r="AYZ10" s="229"/>
      <c r="AZA10" s="229"/>
      <c r="AZB10" s="229"/>
      <c r="AZC10" s="229"/>
      <c r="AZD10" s="229"/>
      <c r="AZE10" s="229"/>
      <c r="AZF10" s="229"/>
      <c r="AZG10" s="229"/>
      <c r="AZH10" s="229"/>
      <c r="AZI10" s="229"/>
      <c r="AZJ10" s="229"/>
      <c r="AZK10" s="229"/>
      <c r="AZL10" s="229"/>
      <c r="AZM10" s="229"/>
      <c r="AZN10" s="229"/>
      <c r="AZO10" s="229"/>
      <c r="AZP10" s="229"/>
      <c r="AZQ10" s="229"/>
      <c r="AZR10" s="229"/>
      <c r="AZS10" s="229"/>
      <c r="AZT10" s="229"/>
      <c r="AZU10" s="229"/>
      <c r="AZV10" s="229"/>
      <c r="AZW10" s="229"/>
      <c r="AZX10" s="229"/>
      <c r="AZY10" s="229"/>
      <c r="AZZ10" s="229"/>
      <c r="BAA10" s="229"/>
      <c r="BAB10" s="229"/>
      <c r="BAC10" s="229"/>
      <c r="BAD10" s="229"/>
      <c r="BAE10" s="229"/>
      <c r="BAF10" s="229"/>
      <c r="BAG10" s="229"/>
      <c r="BAH10" s="229"/>
      <c r="BAI10" s="229"/>
      <c r="BAJ10" s="229"/>
      <c r="BAK10" s="229"/>
      <c r="BAL10" s="229"/>
      <c r="BAM10" s="229"/>
      <c r="BAN10" s="229"/>
      <c r="BAO10" s="229"/>
      <c r="BAP10" s="229"/>
      <c r="BAQ10" s="229"/>
      <c r="BAR10" s="229"/>
      <c r="BAS10" s="229"/>
      <c r="BAT10" s="229"/>
      <c r="BAU10" s="229"/>
      <c r="BAV10" s="229"/>
      <c r="BAW10" s="229"/>
      <c r="BAX10" s="229"/>
      <c r="BAY10" s="229"/>
      <c r="BAZ10" s="229"/>
      <c r="BBA10" s="229"/>
      <c r="BBB10" s="229"/>
      <c r="BBC10" s="229"/>
      <c r="BBD10" s="229"/>
      <c r="BBE10" s="229"/>
      <c r="BBF10" s="229"/>
      <c r="BBG10" s="229"/>
      <c r="BBH10" s="229"/>
      <c r="BBI10" s="229"/>
      <c r="BBJ10" s="229"/>
      <c r="BBK10" s="229"/>
      <c r="BBL10" s="229"/>
      <c r="BBM10" s="229"/>
      <c r="BBN10" s="229"/>
      <c r="BBO10" s="229"/>
      <c r="BBP10" s="229"/>
      <c r="BBQ10" s="229"/>
      <c r="BBR10" s="229"/>
      <c r="BBS10" s="229"/>
      <c r="BBT10" s="229"/>
      <c r="BBU10" s="229"/>
      <c r="BBV10" s="229"/>
      <c r="BBW10" s="229"/>
      <c r="BBX10" s="229"/>
      <c r="BBY10" s="229"/>
      <c r="BBZ10" s="229"/>
      <c r="BCA10" s="229"/>
      <c r="BCB10" s="229"/>
      <c r="BCC10" s="229"/>
      <c r="BCD10" s="229"/>
      <c r="BCE10" s="229"/>
      <c r="BCF10" s="229"/>
      <c r="BCG10" s="229"/>
      <c r="BCH10" s="229"/>
      <c r="BCI10" s="229"/>
      <c r="BCJ10" s="229"/>
      <c r="BCK10" s="229"/>
      <c r="BCL10" s="229"/>
      <c r="BCM10" s="229"/>
      <c r="BCN10" s="229"/>
      <c r="BCO10" s="229"/>
      <c r="BCP10" s="229"/>
      <c r="BCQ10" s="229"/>
      <c r="BCR10" s="229"/>
      <c r="BCS10" s="229"/>
      <c r="BCT10" s="229"/>
      <c r="BCU10" s="229"/>
      <c r="BCV10" s="229"/>
      <c r="BCW10" s="229"/>
      <c r="BCX10" s="229"/>
      <c r="BCY10" s="229"/>
      <c r="BCZ10" s="229"/>
      <c r="BDA10" s="229"/>
      <c r="BDB10" s="229"/>
      <c r="BDC10" s="229"/>
      <c r="BDD10" s="229"/>
      <c r="BDE10" s="229"/>
      <c r="BDF10" s="229"/>
      <c r="BDG10" s="229"/>
      <c r="BDH10" s="229"/>
      <c r="BDI10" s="229"/>
      <c r="BDJ10" s="229"/>
      <c r="BDK10" s="229"/>
      <c r="BDL10" s="229"/>
      <c r="BDM10" s="229"/>
      <c r="BDN10" s="229"/>
      <c r="BDO10" s="229"/>
      <c r="BDP10" s="229"/>
      <c r="BDQ10" s="229"/>
      <c r="BDR10" s="229"/>
      <c r="BDS10" s="229"/>
      <c r="BDT10" s="229"/>
      <c r="BDU10" s="229"/>
      <c r="BDV10" s="229"/>
      <c r="BDW10" s="229"/>
      <c r="BDX10" s="229"/>
      <c r="BDY10" s="229"/>
      <c r="BDZ10" s="229"/>
      <c r="BEA10" s="229"/>
      <c r="BEB10" s="229"/>
      <c r="BEC10" s="229"/>
      <c r="BED10" s="229"/>
      <c r="BEE10" s="229"/>
      <c r="BEF10" s="229"/>
      <c r="BEG10" s="229"/>
      <c r="BEH10" s="229"/>
      <c r="BEI10" s="229"/>
      <c r="BEJ10" s="229"/>
      <c r="BEK10" s="229"/>
      <c r="BEL10" s="229"/>
      <c r="BEM10" s="229"/>
      <c r="BEN10" s="229"/>
      <c r="BEO10" s="229"/>
      <c r="BEP10" s="229"/>
      <c r="BEQ10" s="229"/>
      <c r="BER10" s="229"/>
      <c r="BES10" s="229"/>
      <c r="BET10" s="229"/>
      <c r="BEU10" s="229"/>
      <c r="BEV10" s="229"/>
      <c r="BEW10" s="229"/>
      <c r="BEX10" s="229"/>
      <c r="BEY10" s="229"/>
      <c r="BEZ10" s="229"/>
      <c r="BFA10" s="229"/>
      <c r="BFB10" s="229"/>
      <c r="BFC10" s="229"/>
      <c r="BFD10" s="229"/>
      <c r="BFE10" s="229"/>
      <c r="BFF10" s="229"/>
      <c r="BFG10" s="229"/>
      <c r="BFH10" s="229"/>
      <c r="BFI10" s="229"/>
      <c r="BFJ10" s="229"/>
      <c r="BFK10" s="229"/>
      <c r="BFL10" s="229"/>
      <c r="BFM10" s="229"/>
      <c r="BFN10" s="229"/>
      <c r="BFO10" s="229"/>
      <c r="BFP10" s="229"/>
      <c r="BFQ10" s="229"/>
      <c r="BFR10" s="229"/>
      <c r="BFS10" s="229"/>
      <c r="BFT10" s="229"/>
      <c r="BFU10" s="229"/>
      <c r="BFV10" s="229"/>
      <c r="BFW10" s="229"/>
      <c r="BFX10" s="229"/>
      <c r="BFY10" s="229"/>
      <c r="BFZ10" s="229"/>
      <c r="BGA10" s="229"/>
      <c r="BGB10" s="229"/>
      <c r="BGC10" s="229"/>
      <c r="BGD10" s="229"/>
      <c r="BGE10" s="229"/>
      <c r="BGF10" s="229"/>
      <c r="BGG10" s="229"/>
      <c r="BGH10" s="229"/>
      <c r="BGI10" s="229"/>
      <c r="BGJ10" s="229"/>
      <c r="BGK10" s="229"/>
      <c r="BGL10" s="229"/>
      <c r="BGM10" s="229"/>
      <c r="BGN10" s="229"/>
      <c r="BGO10" s="229"/>
      <c r="BGP10" s="229"/>
      <c r="BGQ10" s="229"/>
      <c r="BGR10" s="229"/>
      <c r="BGS10" s="229"/>
      <c r="BGT10" s="229"/>
      <c r="BGU10" s="229"/>
      <c r="BGV10" s="229"/>
      <c r="BGW10" s="229"/>
      <c r="BGX10" s="229"/>
      <c r="BGY10" s="229"/>
      <c r="BGZ10" s="229"/>
      <c r="BHA10" s="229"/>
      <c r="BHB10" s="229"/>
      <c r="BHC10" s="229"/>
      <c r="BHD10" s="229"/>
      <c r="BHE10" s="229"/>
      <c r="BHF10" s="73"/>
    </row>
    <row r="11" spans="1:1566" s="71" customFormat="1" ht="20.100000000000001" customHeight="1" x14ac:dyDescent="0.25">
      <c r="A11" s="146"/>
      <c r="B11" s="142"/>
      <c r="C11" s="213"/>
      <c r="D11" s="213"/>
      <c r="E11" s="213"/>
      <c r="F11" s="204" t="s">
        <v>83</v>
      </c>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204"/>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204"/>
      <c r="AOU11" s="204"/>
      <c r="AOV11" s="204"/>
      <c r="AOW11" s="204"/>
      <c r="AOX11" s="204"/>
      <c r="AOY11" s="204"/>
      <c r="AOZ11" s="204"/>
      <c r="APA11" s="204"/>
      <c r="APB11" s="204"/>
      <c r="APC11" s="204"/>
      <c r="APD11" s="204"/>
      <c r="APE11" s="204"/>
      <c r="APF11" s="204"/>
      <c r="APG11" s="204"/>
      <c r="APH11" s="204"/>
      <c r="API11" s="204"/>
      <c r="APJ11" s="204"/>
      <c r="APK11" s="204"/>
      <c r="APL11" s="204"/>
      <c r="APM11" s="204"/>
      <c r="APN11" s="204"/>
      <c r="APO11" s="204"/>
      <c r="APP11" s="204"/>
      <c r="APQ11" s="204"/>
      <c r="APR11" s="204"/>
      <c r="APS11" s="204"/>
      <c r="APT11" s="204"/>
      <c r="APU11" s="204"/>
      <c r="APV11" s="204"/>
      <c r="APW11" s="204"/>
      <c r="APX11" s="204"/>
      <c r="APY11" s="204"/>
      <c r="APZ11" s="204"/>
      <c r="AQA11" s="204"/>
      <c r="AQB11" s="204"/>
      <c r="AQC11" s="204"/>
      <c r="AQD11" s="204"/>
      <c r="AQE11" s="204"/>
      <c r="AQF11" s="204"/>
      <c r="AQG11" s="204"/>
      <c r="AQH11" s="204"/>
      <c r="AQI11" s="204"/>
      <c r="AQJ11" s="204"/>
      <c r="AQK11" s="204"/>
      <c r="AQL11" s="204"/>
      <c r="AQM11" s="204"/>
      <c r="AQN11" s="204"/>
      <c r="AQO11" s="204"/>
      <c r="AQP11" s="204"/>
      <c r="AQQ11" s="204"/>
      <c r="AQR11" s="204"/>
      <c r="AQS11" s="204"/>
      <c r="AQT11" s="204"/>
      <c r="AQU11" s="204"/>
      <c r="AQV11" s="204"/>
      <c r="AQW11" s="204"/>
      <c r="AQX11" s="204"/>
      <c r="AQY11" s="204"/>
      <c r="AQZ11" s="204"/>
      <c r="ARA11" s="204"/>
      <c r="ARB11" s="204"/>
      <c r="ARC11" s="204"/>
      <c r="ARD11" s="204"/>
      <c r="ARE11" s="204"/>
      <c r="ARF11" s="204"/>
      <c r="ARG11" s="204"/>
      <c r="ARH11" s="204"/>
      <c r="ARI11" s="204"/>
      <c r="ARJ11" s="204"/>
      <c r="ARK11" s="204"/>
      <c r="ARL11" s="204"/>
      <c r="ARM11" s="204"/>
      <c r="ARN11" s="204"/>
      <c r="ARO11" s="204"/>
      <c r="ARP11" s="204"/>
      <c r="ARQ11" s="204"/>
      <c r="ARR11" s="204"/>
      <c r="ARS11" s="204"/>
      <c r="ART11" s="204"/>
      <c r="ARU11" s="204"/>
      <c r="ARV11" s="204"/>
      <c r="ARW11" s="204"/>
      <c r="ARX11" s="204"/>
      <c r="ARY11" s="204"/>
      <c r="ARZ11" s="204"/>
      <c r="ASA11" s="204"/>
      <c r="ASB11" s="204"/>
      <c r="ASC11" s="204"/>
      <c r="ASD11" s="204"/>
      <c r="ASE11" s="204"/>
      <c r="ASF11" s="204"/>
      <c r="ASG11" s="204"/>
      <c r="ASH11" s="204"/>
      <c r="ASI11" s="204"/>
      <c r="ASJ11" s="204"/>
      <c r="ASK11" s="204"/>
      <c r="ASL11" s="204"/>
      <c r="ASM11" s="204"/>
      <c r="ASN11" s="204"/>
      <c r="ASO11" s="204"/>
      <c r="ASP11" s="204"/>
      <c r="ASQ11" s="204"/>
      <c r="ASR11" s="204"/>
      <c r="ASS11" s="204"/>
      <c r="AST11" s="204"/>
      <c r="ASU11" s="204"/>
      <c r="ASV11" s="204"/>
      <c r="ASW11" s="204"/>
      <c r="ASX11" s="204"/>
      <c r="ASY11" s="204"/>
      <c r="ASZ11" s="204"/>
      <c r="ATA11" s="204"/>
      <c r="ATB11" s="204"/>
      <c r="ATC11" s="204"/>
      <c r="ATD11" s="204"/>
      <c r="ATE11" s="204"/>
      <c r="ATF11" s="204"/>
      <c r="ATG11" s="204"/>
      <c r="ATH11" s="204"/>
      <c r="ATI11" s="204"/>
      <c r="ATJ11" s="204"/>
      <c r="ATK11" s="204"/>
      <c r="ATL11" s="204"/>
      <c r="ATM11" s="204"/>
      <c r="ATN11" s="204"/>
      <c r="ATO11" s="204"/>
      <c r="ATP11" s="204"/>
      <c r="ATQ11" s="204"/>
      <c r="ATR11" s="204"/>
      <c r="ATS11" s="204"/>
      <c r="ATT11" s="204"/>
      <c r="ATU11" s="204"/>
      <c r="ATV11" s="204"/>
      <c r="ATW11" s="204"/>
      <c r="ATX11" s="204"/>
      <c r="ATY11" s="204"/>
      <c r="ATZ11" s="204"/>
      <c r="AUA11" s="204"/>
      <c r="AUB11" s="204"/>
      <c r="AUC11" s="204"/>
      <c r="AUD11" s="204"/>
      <c r="AUE11" s="204"/>
      <c r="AUF11" s="204"/>
      <c r="AUG11" s="204"/>
      <c r="AUH11" s="204"/>
      <c r="AUI11" s="204"/>
      <c r="AUJ11" s="204"/>
      <c r="AUK11" s="204"/>
      <c r="AUL11" s="204"/>
      <c r="AUM11" s="204"/>
      <c r="AUN11" s="204"/>
      <c r="AUO11" s="204"/>
      <c r="AUP11" s="204"/>
      <c r="AUQ11" s="204"/>
      <c r="AUR11" s="204"/>
      <c r="AUS11" s="204"/>
      <c r="AUT11" s="204"/>
      <c r="AUU11" s="204"/>
      <c r="AUV11" s="204"/>
      <c r="AUW11" s="204"/>
      <c r="AUX11" s="204"/>
      <c r="AUY11" s="204"/>
      <c r="AUZ11" s="204"/>
      <c r="AVA11" s="204"/>
      <c r="AVB11" s="204"/>
      <c r="AVC11" s="204"/>
      <c r="AVD11" s="204"/>
      <c r="AVE11" s="204"/>
      <c r="AVF11" s="204"/>
      <c r="AVG11" s="204"/>
      <c r="AVH11" s="204"/>
      <c r="AVI11" s="204"/>
      <c r="AVJ11" s="204"/>
      <c r="AVK11" s="204"/>
      <c r="AVL11" s="204"/>
      <c r="AVM11" s="204"/>
      <c r="AVN11" s="204"/>
      <c r="AVO11" s="204"/>
      <c r="AVP11" s="204"/>
      <c r="AVQ11" s="204"/>
      <c r="AVR11" s="204"/>
      <c r="AVS11" s="204"/>
      <c r="AVT11" s="204"/>
      <c r="AVU11" s="204"/>
      <c r="AVV11" s="204"/>
      <c r="AVW11" s="204"/>
      <c r="AVX11" s="204"/>
      <c r="AVY11" s="204"/>
      <c r="AVZ11" s="204"/>
      <c r="AWA11" s="204"/>
      <c r="AWB11" s="204"/>
      <c r="AWC11" s="204"/>
      <c r="AWD11" s="204"/>
      <c r="AWE11" s="204"/>
      <c r="AWF11" s="204"/>
      <c r="AWG11" s="204"/>
      <c r="AWH11" s="204"/>
      <c r="AWI11" s="204"/>
      <c r="AWJ11" s="204"/>
      <c r="AWK11" s="204"/>
      <c r="AWL11" s="204"/>
      <c r="AWM11" s="204"/>
      <c r="AWN11" s="204"/>
      <c r="AWO11" s="204"/>
      <c r="AWP11" s="204"/>
      <c r="AWQ11" s="204"/>
      <c r="AWR11" s="204"/>
      <c r="AWS11" s="204"/>
      <c r="AWT11" s="204"/>
      <c r="AWU11" s="204"/>
      <c r="AWV11" s="204"/>
      <c r="AWW11" s="204"/>
      <c r="AWX11" s="204"/>
      <c r="AWY11" s="204"/>
      <c r="AWZ11" s="204"/>
      <c r="AXA11" s="204"/>
      <c r="AXB11" s="204"/>
      <c r="AXC11" s="204"/>
      <c r="AXD11" s="204"/>
      <c r="AXE11" s="204"/>
      <c r="AXF11" s="204"/>
      <c r="AXG11" s="204"/>
      <c r="AXH11" s="204"/>
      <c r="AXI11" s="204"/>
      <c r="AXJ11" s="204"/>
      <c r="AXK11" s="204"/>
      <c r="AXL11" s="204"/>
      <c r="AXM11" s="204"/>
      <c r="AXN11" s="204"/>
      <c r="AXO11" s="204"/>
      <c r="AXP11" s="204"/>
      <c r="AXQ11" s="204"/>
      <c r="AXR11" s="204"/>
      <c r="AXS11" s="204"/>
      <c r="AXT11" s="204"/>
      <c r="AXU11" s="204"/>
      <c r="AXV11" s="204"/>
      <c r="AXW11" s="204"/>
      <c r="AXX11" s="204"/>
      <c r="AXY11" s="204"/>
      <c r="AXZ11" s="204"/>
      <c r="AYA11" s="204"/>
      <c r="AYB11" s="204"/>
      <c r="AYC11" s="204"/>
      <c r="AYD11" s="204"/>
      <c r="AYE11" s="204"/>
      <c r="AYF11" s="204"/>
      <c r="AYG11" s="204"/>
      <c r="AYH11" s="204"/>
      <c r="AYI11" s="204"/>
      <c r="AYJ11" s="204"/>
      <c r="AYK11" s="204"/>
      <c r="AYL11" s="204"/>
      <c r="AYM11" s="204"/>
      <c r="AYN11" s="204"/>
      <c r="AYO11" s="204"/>
      <c r="AYP11" s="204"/>
      <c r="AYQ11" s="204"/>
      <c r="AYR11" s="204"/>
      <c r="AYS11" s="204"/>
      <c r="AYT11" s="204"/>
      <c r="AYU11" s="204"/>
      <c r="AYV11" s="204"/>
      <c r="AYW11" s="204"/>
      <c r="AYX11" s="204"/>
      <c r="AYY11" s="204"/>
      <c r="AYZ11" s="204"/>
      <c r="AZA11" s="204"/>
      <c r="AZB11" s="204"/>
      <c r="AZC11" s="204"/>
      <c r="AZD11" s="204"/>
      <c r="AZE11" s="204"/>
      <c r="AZF11" s="204"/>
      <c r="AZG11" s="204"/>
      <c r="AZH11" s="204"/>
      <c r="AZI11" s="204"/>
      <c r="AZJ11" s="204"/>
      <c r="AZK11" s="204"/>
      <c r="AZL11" s="204"/>
      <c r="AZM11" s="204"/>
      <c r="AZN11" s="204"/>
      <c r="AZO11" s="204"/>
      <c r="AZP11" s="204"/>
      <c r="AZQ11" s="204"/>
      <c r="AZR11" s="204"/>
      <c r="AZS11" s="204"/>
      <c r="AZT11" s="204"/>
      <c r="AZU11" s="204"/>
      <c r="AZV11" s="204"/>
      <c r="AZW11" s="204"/>
      <c r="AZX11" s="204"/>
      <c r="AZY11" s="204"/>
      <c r="AZZ11" s="204"/>
      <c r="BAA11" s="204"/>
      <c r="BAB11" s="204"/>
      <c r="BAC11" s="204"/>
      <c r="BAD11" s="204"/>
      <c r="BAE11" s="204"/>
      <c r="BAF11" s="204"/>
      <c r="BAG11" s="204"/>
      <c r="BAH11" s="204"/>
      <c r="BAI11" s="204"/>
      <c r="BAJ11" s="204"/>
      <c r="BAK11" s="204"/>
      <c r="BAL11" s="204"/>
      <c r="BAM11" s="204"/>
      <c r="BAN11" s="204"/>
      <c r="BAO11" s="204"/>
      <c r="BAP11" s="204"/>
      <c r="BAQ11" s="204"/>
      <c r="BAR11" s="204"/>
      <c r="BAS11" s="204"/>
      <c r="BAT11" s="204"/>
      <c r="BAU11" s="204"/>
      <c r="BAV11" s="204"/>
      <c r="BAW11" s="204"/>
      <c r="BAX11" s="204"/>
      <c r="BAY11" s="204"/>
      <c r="BAZ11" s="204"/>
      <c r="BBA11" s="204"/>
      <c r="BBB11" s="204"/>
      <c r="BBC11" s="204"/>
      <c r="BBD11" s="204"/>
      <c r="BBE11" s="204"/>
      <c r="BBF11" s="204"/>
      <c r="BBG11" s="204"/>
      <c r="BBH11" s="204"/>
      <c r="BBI11" s="204"/>
      <c r="BBJ11" s="204"/>
      <c r="BBK11" s="204"/>
      <c r="BBL11" s="204"/>
      <c r="BBM11" s="204"/>
      <c r="BBN11" s="204"/>
      <c r="BBO11" s="204"/>
      <c r="BBP11" s="204"/>
      <c r="BBQ11" s="204"/>
      <c r="BBR11" s="204"/>
      <c r="BBS11" s="204"/>
      <c r="BBT11" s="204"/>
      <c r="BBU11" s="204"/>
      <c r="BBV11" s="204"/>
      <c r="BBW11" s="204"/>
      <c r="BBX11" s="204"/>
      <c r="BBY11" s="204"/>
      <c r="BBZ11" s="204"/>
      <c r="BCA11" s="204"/>
      <c r="BCB11" s="204"/>
      <c r="BCC11" s="204"/>
      <c r="BCD11" s="204"/>
      <c r="BCE11" s="204"/>
      <c r="BCF11" s="204"/>
      <c r="BCG11" s="204"/>
      <c r="BCH11" s="204"/>
      <c r="BCI11" s="204"/>
      <c r="BCJ11" s="204"/>
      <c r="BCK11" s="204"/>
      <c r="BCL11" s="204"/>
      <c r="BCM11" s="204"/>
      <c r="BCN11" s="204"/>
      <c r="BCO11" s="204"/>
      <c r="BCP11" s="204"/>
      <c r="BCQ11" s="204"/>
      <c r="BCR11" s="204"/>
      <c r="BCS11" s="204"/>
      <c r="BCT11" s="204"/>
      <c r="BCU11" s="204"/>
      <c r="BCV11" s="204"/>
      <c r="BCW11" s="204"/>
      <c r="BCX11" s="204"/>
      <c r="BCY11" s="204"/>
      <c r="BCZ11" s="204"/>
      <c r="BDA11" s="204"/>
      <c r="BDB11" s="204"/>
      <c r="BDC11" s="204"/>
      <c r="BDD11" s="204"/>
      <c r="BDE11" s="204"/>
      <c r="BDF11" s="204"/>
      <c r="BDG11" s="204"/>
      <c r="BDH11" s="204"/>
      <c r="BDI11" s="204"/>
      <c r="BDJ11" s="204"/>
      <c r="BDK11" s="204"/>
      <c r="BDL11" s="204"/>
      <c r="BDM11" s="204"/>
      <c r="BDN11" s="204"/>
      <c r="BDO11" s="204"/>
      <c r="BDP11" s="204"/>
      <c r="BDQ11" s="204"/>
      <c r="BDR11" s="204"/>
      <c r="BDS11" s="204"/>
      <c r="BDT11" s="204"/>
      <c r="BDU11" s="204"/>
      <c r="BDV11" s="204"/>
      <c r="BDW11" s="204"/>
      <c r="BDX11" s="204"/>
      <c r="BDY11" s="204"/>
      <c r="BDZ11" s="204"/>
      <c r="BEA11" s="204"/>
      <c r="BEB11" s="204"/>
      <c r="BEC11" s="204"/>
      <c r="BED11" s="204"/>
      <c r="BEE11" s="204"/>
      <c r="BEF11" s="204"/>
      <c r="BEG11" s="204"/>
      <c r="BEH11" s="204"/>
      <c r="BEI11" s="204"/>
      <c r="BEJ11" s="204"/>
      <c r="BEK11" s="204"/>
      <c r="BEL11" s="204"/>
      <c r="BEM11" s="204"/>
      <c r="BEN11" s="204"/>
      <c r="BEO11" s="204"/>
      <c r="BEP11" s="204"/>
      <c r="BEQ11" s="204"/>
      <c r="BER11" s="204"/>
      <c r="BES11" s="204"/>
      <c r="BET11" s="204"/>
      <c r="BEU11" s="204"/>
      <c r="BEV11" s="204"/>
      <c r="BEW11" s="204"/>
      <c r="BEX11" s="204"/>
      <c r="BEY11" s="204"/>
      <c r="BEZ11" s="204"/>
      <c r="BFA11" s="204"/>
      <c r="BFB11" s="204"/>
      <c r="BFC11" s="204"/>
      <c r="BFD11" s="204"/>
      <c r="BFE11" s="204"/>
      <c r="BFF11" s="204"/>
      <c r="BFG11" s="204"/>
      <c r="BFH11" s="204"/>
      <c r="BFI11" s="204"/>
      <c r="BFJ11" s="204"/>
      <c r="BFK11" s="204"/>
      <c r="BFL11" s="204"/>
      <c r="BFM11" s="204"/>
      <c r="BFN11" s="204"/>
      <c r="BFO11" s="204"/>
      <c r="BFP11" s="204"/>
      <c r="BFQ11" s="204"/>
      <c r="BFR11" s="204"/>
      <c r="BFS11" s="204"/>
      <c r="BFT11" s="204"/>
      <c r="BFU11" s="204"/>
      <c r="BFV11" s="204"/>
      <c r="BFW11" s="204"/>
      <c r="BFX11" s="204"/>
      <c r="BFY11" s="204"/>
      <c r="BFZ11" s="204"/>
      <c r="BGA11" s="204"/>
      <c r="BGB11" s="204"/>
      <c r="BGC11" s="204"/>
      <c r="BGD11" s="204"/>
      <c r="BGE11" s="204"/>
      <c r="BGF11" s="204"/>
      <c r="BGG11" s="204"/>
      <c r="BGH11" s="204"/>
      <c r="BGI11" s="204"/>
      <c r="BGJ11" s="204"/>
      <c r="BGK11" s="204"/>
      <c r="BGL11" s="204"/>
      <c r="BGM11" s="204"/>
      <c r="BGN11" s="204"/>
      <c r="BGO11" s="204"/>
      <c r="BGP11" s="204"/>
      <c r="BGQ11" s="204"/>
      <c r="BGR11" s="204"/>
      <c r="BGS11" s="204"/>
      <c r="BGT11" s="204"/>
      <c r="BGU11" s="204"/>
      <c r="BGV11" s="204"/>
      <c r="BGW11" s="204"/>
      <c r="BGX11" s="204"/>
      <c r="BGY11" s="204"/>
      <c r="BGZ11" s="204"/>
      <c r="BHA11" s="204"/>
      <c r="BHB11" s="204"/>
      <c r="BHC11" s="204"/>
      <c r="BHD11" s="204"/>
      <c r="BHE11" s="204"/>
      <c r="BHF11" s="73"/>
    </row>
    <row r="12" spans="1:1566" ht="49.5" customHeight="1" thickBot="1" x14ac:dyDescent="0.3">
      <c r="B12" s="143"/>
      <c r="C12" s="214"/>
      <c r="D12" s="214"/>
      <c r="E12" s="214"/>
      <c r="F12" s="202" t="s">
        <v>80</v>
      </c>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c r="DR12" s="202"/>
      <c r="DS12" s="202"/>
      <c r="DT12" s="202"/>
      <c r="DU12" s="202"/>
      <c r="DV12" s="209"/>
      <c r="DW12" s="209"/>
      <c r="DX12" s="209"/>
      <c r="DY12" s="209"/>
      <c r="DZ12" s="209"/>
      <c r="EA12" s="209"/>
      <c r="EB12" s="209"/>
      <c r="EC12" s="209"/>
      <c r="ED12" s="209"/>
      <c r="EE12" s="209"/>
      <c r="EF12" s="209"/>
      <c r="EG12" s="209"/>
      <c r="EH12" s="209"/>
      <c r="EI12" s="209"/>
      <c r="EJ12" s="209"/>
      <c r="EK12" s="209"/>
      <c r="EL12" s="209"/>
      <c r="EM12" s="209"/>
      <c r="EN12" s="209"/>
      <c r="EO12" s="209"/>
      <c r="EP12" s="209"/>
      <c r="EQ12" s="209"/>
      <c r="ER12" s="209"/>
      <c r="ES12" s="209"/>
      <c r="ET12" s="209"/>
      <c r="EU12" s="209"/>
      <c r="EV12" s="209"/>
      <c r="EW12" s="209"/>
      <c r="EX12" s="209"/>
      <c r="EY12" s="209"/>
      <c r="EZ12" s="209"/>
      <c r="FA12" s="209"/>
      <c r="FB12" s="209"/>
      <c r="FC12" s="209"/>
      <c r="FD12" s="209"/>
      <c r="FE12" s="209"/>
      <c r="FF12" s="209"/>
      <c r="FG12" s="209"/>
      <c r="FH12" s="209"/>
      <c r="FI12" s="209"/>
      <c r="FJ12" s="209"/>
      <c r="FK12" s="209"/>
      <c r="FL12" s="209"/>
      <c r="FM12" s="209"/>
      <c r="FN12" s="209"/>
      <c r="FO12" s="209"/>
      <c r="FP12" s="209"/>
      <c r="FQ12" s="209"/>
      <c r="FR12" s="209"/>
      <c r="FS12" s="209"/>
      <c r="FT12" s="209"/>
      <c r="FU12" s="209"/>
      <c r="FV12" s="209"/>
      <c r="FW12" s="209"/>
      <c r="FX12" s="209"/>
      <c r="FY12" s="209"/>
      <c r="FZ12" s="209"/>
      <c r="GA12" s="209"/>
      <c r="GB12" s="209"/>
      <c r="GC12" s="209"/>
      <c r="GD12" s="220"/>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73"/>
    </row>
    <row r="13" spans="1:1566" ht="42.75" customHeight="1" thickBot="1" x14ac:dyDescent="0.3">
      <c r="B13" s="51"/>
      <c r="C13" s="218" t="s">
        <v>16</v>
      </c>
      <c r="D13" s="117"/>
      <c r="E13" s="216" t="s">
        <v>17</v>
      </c>
      <c r="F13" s="206" t="s">
        <v>18</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19</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20</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21</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22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23</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24</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25</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26</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27</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28</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29</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30</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31</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32</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33</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34</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35</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206" t="s">
        <v>36</v>
      </c>
      <c r="AOU13" s="207"/>
      <c r="AOV13" s="207"/>
      <c r="AOW13" s="207"/>
      <c r="AOX13" s="207"/>
      <c r="AOY13" s="207"/>
      <c r="AOZ13" s="207"/>
      <c r="APA13" s="207"/>
      <c r="APB13" s="207"/>
      <c r="APC13" s="207"/>
      <c r="APD13" s="207"/>
      <c r="APE13" s="207"/>
      <c r="APF13" s="207"/>
      <c r="APG13" s="207"/>
      <c r="APH13" s="207"/>
      <c r="API13" s="207"/>
      <c r="APJ13" s="207"/>
      <c r="APK13" s="207"/>
      <c r="APL13" s="207"/>
      <c r="APM13" s="207"/>
      <c r="APN13" s="207"/>
      <c r="APO13" s="207"/>
      <c r="APP13" s="207"/>
      <c r="APQ13" s="207"/>
      <c r="APR13" s="207"/>
      <c r="APS13" s="207"/>
      <c r="APT13" s="207"/>
      <c r="APU13" s="207"/>
      <c r="APV13" s="207"/>
      <c r="APW13" s="207"/>
      <c r="APX13" s="207"/>
      <c r="APY13" s="207"/>
      <c r="APZ13" s="207"/>
      <c r="AQA13" s="207"/>
      <c r="AQB13" s="207"/>
      <c r="AQC13" s="207"/>
      <c r="AQD13" s="207"/>
      <c r="AQE13" s="207"/>
      <c r="AQF13" s="207"/>
      <c r="AQG13" s="207"/>
      <c r="AQH13" s="207"/>
      <c r="AQI13" s="207"/>
      <c r="AQJ13" s="207"/>
      <c r="AQK13" s="207"/>
      <c r="AQL13" s="207"/>
      <c r="AQM13" s="207"/>
      <c r="AQN13" s="207"/>
      <c r="AQO13" s="207"/>
      <c r="AQP13" s="207"/>
      <c r="AQQ13" s="207"/>
      <c r="AQR13" s="207"/>
      <c r="AQS13" s="207"/>
      <c r="AQT13" s="207"/>
      <c r="AQU13" s="207"/>
      <c r="AQV13" s="207"/>
      <c r="AQW13" s="207"/>
      <c r="AQX13" s="207"/>
      <c r="AQY13" s="207"/>
      <c r="AQZ13" s="207"/>
      <c r="ARA13" s="208"/>
      <c r="ARB13" s="206" t="s">
        <v>37</v>
      </c>
      <c r="ARC13" s="207"/>
      <c r="ARD13" s="207"/>
      <c r="ARE13" s="207"/>
      <c r="ARF13" s="207"/>
      <c r="ARG13" s="207"/>
      <c r="ARH13" s="207"/>
      <c r="ARI13" s="207"/>
      <c r="ARJ13" s="207"/>
      <c r="ARK13" s="207"/>
      <c r="ARL13" s="207"/>
      <c r="ARM13" s="207"/>
      <c r="ARN13" s="207"/>
      <c r="ARO13" s="207"/>
      <c r="ARP13" s="207"/>
      <c r="ARQ13" s="207"/>
      <c r="ARR13" s="207"/>
      <c r="ARS13" s="207"/>
      <c r="ART13" s="207"/>
      <c r="ARU13" s="207"/>
      <c r="ARV13" s="207"/>
      <c r="ARW13" s="207"/>
      <c r="ARX13" s="207"/>
      <c r="ARY13" s="207"/>
      <c r="ARZ13" s="207"/>
      <c r="ASA13" s="207"/>
      <c r="ASB13" s="207"/>
      <c r="ASC13" s="207"/>
      <c r="ASD13" s="207"/>
      <c r="ASE13" s="207"/>
      <c r="ASF13" s="207"/>
      <c r="ASG13" s="207"/>
      <c r="ASH13" s="207"/>
      <c r="ASI13" s="207"/>
      <c r="ASJ13" s="207"/>
      <c r="ASK13" s="207"/>
      <c r="ASL13" s="207"/>
      <c r="ASM13" s="207"/>
      <c r="ASN13" s="207"/>
      <c r="ASO13" s="207"/>
      <c r="ASP13" s="207"/>
      <c r="ASQ13" s="207"/>
      <c r="ASR13" s="207"/>
      <c r="ASS13" s="207"/>
      <c r="AST13" s="207"/>
      <c r="ASU13" s="207"/>
      <c r="ASV13" s="207"/>
      <c r="ASW13" s="207"/>
      <c r="ASX13" s="207"/>
      <c r="ASY13" s="207"/>
      <c r="ASZ13" s="207"/>
      <c r="ATA13" s="207"/>
      <c r="ATB13" s="207"/>
      <c r="ATC13" s="207"/>
      <c r="ATD13" s="207"/>
      <c r="ATE13" s="207"/>
      <c r="ATF13" s="207"/>
      <c r="ATG13" s="207"/>
      <c r="ATH13" s="207"/>
      <c r="ATI13" s="208"/>
      <c r="ATJ13" s="206" t="s">
        <v>38</v>
      </c>
      <c r="ATK13" s="207"/>
      <c r="ATL13" s="207"/>
      <c r="ATM13" s="207"/>
      <c r="ATN13" s="207"/>
      <c r="ATO13" s="207"/>
      <c r="ATP13" s="207"/>
      <c r="ATQ13" s="207"/>
      <c r="ATR13" s="207"/>
      <c r="ATS13" s="207"/>
      <c r="ATT13" s="207"/>
      <c r="ATU13" s="207"/>
      <c r="ATV13" s="207"/>
      <c r="ATW13" s="207"/>
      <c r="ATX13" s="207"/>
      <c r="ATY13" s="207"/>
      <c r="ATZ13" s="207"/>
      <c r="AUA13" s="207"/>
      <c r="AUB13" s="207"/>
      <c r="AUC13" s="207"/>
      <c r="AUD13" s="207"/>
      <c r="AUE13" s="207"/>
      <c r="AUF13" s="207"/>
      <c r="AUG13" s="207"/>
      <c r="AUH13" s="207"/>
      <c r="AUI13" s="207"/>
      <c r="AUJ13" s="207"/>
      <c r="AUK13" s="207"/>
      <c r="AUL13" s="207"/>
      <c r="AUM13" s="207"/>
      <c r="AUN13" s="207"/>
      <c r="AUO13" s="207"/>
      <c r="AUP13" s="207"/>
      <c r="AUQ13" s="207"/>
      <c r="AUR13" s="207"/>
      <c r="AUS13" s="207"/>
      <c r="AUT13" s="207"/>
      <c r="AUU13" s="207"/>
      <c r="AUV13" s="207"/>
      <c r="AUW13" s="207"/>
      <c r="AUX13" s="207"/>
      <c r="AUY13" s="207"/>
      <c r="AUZ13" s="207"/>
      <c r="AVA13" s="207"/>
      <c r="AVB13" s="207"/>
      <c r="AVC13" s="207"/>
      <c r="AVD13" s="207"/>
      <c r="AVE13" s="207"/>
      <c r="AVF13" s="207"/>
      <c r="AVG13" s="207"/>
      <c r="AVH13" s="207"/>
      <c r="AVI13" s="207"/>
      <c r="AVJ13" s="207"/>
      <c r="AVK13" s="207"/>
      <c r="AVL13" s="207"/>
      <c r="AVM13" s="207"/>
      <c r="AVN13" s="207"/>
      <c r="AVO13" s="207"/>
      <c r="AVP13" s="207"/>
      <c r="AVQ13" s="208"/>
      <c r="AVR13" s="206" t="s">
        <v>39</v>
      </c>
      <c r="AVS13" s="207"/>
      <c r="AVT13" s="207"/>
      <c r="AVU13" s="207"/>
      <c r="AVV13" s="207"/>
      <c r="AVW13" s="207"/>
      <c r="AVX13" s="207"/>
      <c r="AVY13" s="207"/>
      <c r="AVZ13" s="207"/>
      <c r="AWA13" s="207"/>
      <c r="AWB13" s="207"/>
      <c r="AWC13" s="207"/>
      <c r="AWD13" s="207"/>
      <c r="AWE13" s="207"/>
      <c r="AWF13" s="207"/>
      <c r="AWG13" s="207"/>
      <c r="AWH13" s="207"/>
      <c r="AWI13" s="207"/>
      <c r="AWJ13" s="207"/>
      <c r="AWK13" s="207"/>
      <c r="AWL13" s="207"/>
      <c r="AWM13" s="207"/>
      <c r="AWN13" s="207"/>
      <c r="AWO13" s="207"/>
      <c r="AWP13" s="207"/>
      <c r="AWQ13" s="207"/>
      <c r="AWR13" s="207"/>
      <c r="AWS13" s="207"/>
      <c r="AWT13" s="207"/>
      <c r="AWU13" s="207"/>
      <c r="AWV13" s="207"/>
      <c r="AWW13" s="207"/>
      <c r="AWX13" s="207"/>
      <c r="AWY13" s="207"/>
      <c r="AWZ13" s="207"/>
      <c r="AXA13" s="207"/>
      <c r="AXB13" s="207"/>
      <c r="AXC13" s="207"/>
      <c r="AXD13" s="207"/>
      <c r="AXE13" s="207"/>
      <c r="AXF13" s="207"/>
      <c r="AXG13" s="207"/>
      <c r="AXH13" s="207"/>
      <c r="AXI13" s="207"/>
      <c r="AXJ13" s="207"/>
      <c r="AXK13" s="207"/>
      <c r="AXL13" s="207"/>
      <c r="AXM13" s="207"/>
      <c r="AXN13" s="207"/>
      <c r="AXO13" s="207"/>
      <c r="AXP13" s="207"/>
      <c r="AXQ13" s="207"/>
      <c r="AXR13" s="207"/>
      <c r="AXS13" s="207"/>
      <c r="AXT13" s="207"/>
      <c r="AXU13" s="207"/>
      <c r="AXV13" s="207"/>
      <c r="AXW13" s="207"/>
      <c r="AXX13" s="207"/>
      <c r="AXY13" s="208"/>
      <c r="AXZ13" s="206" t="s">
        <v>40</v>
      </c>
      <c r="AYA13" s="207"/>
      <c r="AYB13" s="207"/>
      <c r="AYC13" s="207"/>
      <c r="AYD13" s="207"/>
      <c r="AYE13" s="207"/>
      <c r="AYF13" s="207"/>
      <c r="AYG13" s="207"/>
      <c r="AYH13" s="207"/>
      <c r="AYI13" s="207"/>
      <c r="AYJ13" s="207"/>
      <c r="AYK13" s="207"/>
      <c r="AYL13" s="207"/>
      <c r="AYM13" s="207"/>
      <c r="AYN13" s="207"/>
      <c r="AYO13" s="207"/>
      <c r="AYP13" s="207"/>
      <c r="AYQ13" s="207"/>
      <c r="AYR13" s="207"/>
      <c r="AYS13" s="207"/>
      <c r="AYT13" s="207"/>
      <c r="AYU13" s="207"/>
      <c r="AYV13" s="207"/>
      <c r="AYW13" s="207"/>
      <c r="AYX13" s="207"/>
      <c r="AYY13" s="207"/>
      <c r="AYZ13" s="207"/>
      <c r="AZA13" s="207"/>
      <c r="AZB13" s="207"/>
      <c r="AZC13" s="207"/>
      <c r="AZD13" s="207"/>
      <c r="AZE13" s="207"/>
      <c r="AZF13" s="207"/>
      <c r="AZG13" s="207"/>
      <c r="AZH13" s="207"/>
      <c r="AZI13" s="207"/>
      <c r="AZJ13" s="207"/>
      <c r="AZK13" s="207"/>
      <c r="AZL13" s="207"/>
      <c r="AZM13" s="207"/>
      <c r="AZN13" s="207"/>
      <c r="AZO13" s="207"/>
      <c r="AZP13" s="207"/>
      <c r="AZQ13" s="207"/>
      <c r="AZR13" s="207"/>
      <c r="AZS13" s="207"/>
      <c r="AZT13" s="207"/>
      <c r="AZU13" s="207"/>
      <c r="AZV13" s="207"/>
      <c r="AZW13" s="207"/>
      <c r="AZX13" s="207"/>
      <c r="AZY13" s="207"/>
      <c r="AZZ13" s="207"/>
      <c r="BAA13" s="207"/>
      <c r="BAB13" s="207"/>
      <c r="BAC13" s="207"/>
      <c r="BAD13" s="207"/>
      <c r="BAE13" s="207"/>
      <c r="BAF13" s="207"/>
      <c r="BAG13" s="208"/>
      <c r="BAH13" s="206" t="s">
        <v>41</v>
      </c>
      <c r="BAI13" s="207"/>
      <c r="BAJ13" s="207"/>
      <c r="BAK13" s="207"/>
      <c r="BAL13" s="207"/>
      <c r="BAM13" s="207"/>
      <c r="BAN13" s="207"/>
      <c r="BAO13" s="207"/>
      <c r="BAP13" s="207"/>
      <c r="BAQ13" s="207"/>
      <c r="BAR13" s="207"/>
      <c r="BAS13" s="207"/>
      <c r="BAT13" s="207"/>
      <c r="BAU13" s="207"/>
      <c r="BAV13" s="207"/>
      <c r="BAW13" s="207"/>
      <c r="BAX13" s="207"/>
      <c r="BAY13" s="207"/>
      <c r="BAZ13" s="207"/>
      <c r="BBA13" s="207"/>
      <c r="BBB13" s="207"/>
      <c r="BBC13" s="207"/>
      <c r="BBD13" s="207"/>
      <c r="BBE13" s="207"/>
      <c r="BBF13" s="207"/>
      <c r="BBG13" s="207"/>
      <c r="BBH13" s="207"/>
      <c r="BBI13" s="207"/>
      <c r="BBJ13" s="207"/>
      <c r="BBK13" s="207"/>
      <c r="BBL13" s="207"/>
      <c r="BBM13" s="207"/>
      <c r="BBN13" s="207"/>
      <c r="BBO13" s="207"/>
      <c r="BBP13" s="207"/>
      <c r="BBQ13" s="207"/>
      <c r="BBR13" s="207"/>
      <c r="BBS13" s="207"/>
      <c r="BBT13" s="207"/>
      <c r="BBU13" s="207"/>
      <c r="BBV13" s="207"/>
      <c r="BBW13" s="207"/>
      <c r="BBX13" s="207"/>
      <c r="BBY13" s="207"/>
      <c r="BBZ13" s="207"/>
      <c r="BCA13" s="207"/>
      <c r="BCB13" s="207"/>
      <c r="BCC13" s="207"/>
      <c r="BCD13" s="207"/>
      <c r="BCE13" s="207"/>
      <c r="BCF13" s="207"/>
      <c r="BCG13" s="207"/>
      <c r="BCH13" s="207"/>
      <c r="BCI13" s="207"/>
      <c r="BCJ13" s="207"/>
      <c r="BCK13" s="207"/>
      <c r="BCL13" s="207"/>
      <c r="BCM13" s="207"/>
      <c r="BCN13" s="207"/>
      <c r="BCO13" s="208"/>
      <c r="BCP13" s="206" t="s">
        <v>42</v>
      </c>
      <c r="BCQ13" s="207"/>
      <c r="BCR13" s="207"/>
      <c r="BCS13" s="207"/>
      <c r="BCT13" s="207"/>
      <c r="BCU13" s="207"/>
      <c r="BCV13" s="207"/>
      <c r="BCW13" s="207"/>
      <c r="BCX13" s="207"/>
      <c r="BCY13" s="207"/>
      <c r="BCZ13" s="207"/>
      <c r="BDA13" s="207"/>
      <c r="BDB13" s="207"/>
      <c r="BDC13" s="207"/>
      <c r="BDD13" s="207"/>
      <c r="BDE13" s="207"/>
      <c r="BDF13" s="207"/>
      <c r="BDG13" s="207"/>
      <c r="BDH13" s="207"/>
      <c r="BDI13" s="207"/>
      <c r="BDJ13" s="207"/>
      <c r="BDK13" s="207"/>
      <c r="BDL13" s="207"/>
      <c r="BDM13" s="207"/>
      <c r="BDN13" s="207"/>
      <c r="BDO13" s="207"/>
      <c r="BDP13" s="207"/>
      <c r="BDQ13" s="207"/>
      <c r="BDR13" s="207"/>
      <c r="BDS13" s="207"/>
      <c r="BDT13" s="207"/>
      <c r="BDU13" s="207"/>
      <c r="BDV13" s="207"/>
      <c r="BDW13" s="207"/>
      <c r="BDX13" s="207"/>
      <c r="BDY13" s="207"/>
      <c r="BDZ13" s="207"/>
      <c r="BEA13" s="207"/>
      <c r="BEB13" s="207"/>
      <c r="BEC13" s="207"/>
      <c r="BED13" s="207"/>
      <c r="BEE13" s="207"/>
      <c r="BEF13" s="207"/>
      <c r="BEG13" s="207"/>
      <c r="BEH13" s="207"/>
      <c r="BEI13" s="207"/>
      <c r="BEJ13" s="207"/>
      <c r="BEK13" s="207"/>
      <c r="BEL13" s="207"/>
      <c r="BEM13" s="207"/>
      <c r="BEN13" s="207"/>
      <c r="BEO13" s="207"/>
      <c r="BEP13" s="207"/>
      <c r="BEQ13" s="207"/>
      <c r="BER13" s="207"/>
      <c r="BES13" s="207"/>
      <c r="BET13" s="207"/>
      <c r="BEU13" s="207"/>
      <c r="BEV13" s="207"/>
      <c r="BEW13" s="208"/>
      <c r="BEX13" s="206" t="s">
        <v>43</v>
      </c>
      <c r="BEY13" s="207"/>
      <c r="BEZ13" s="207"/>
      <c r="BFA13" s="207"/>
      <c r="BFB13" s="207"/>
      <c r="BFC13" s="207"/>
      <c r="BFD13" s="207"/>
      <c r="BFE13" s="207"/>
      <c r="BFF13" s="207"/>
      <c r="BFG13" s="207"/>
      <c r="BFH13" s="207"/>
      <c r="BFI13" s="207"/>
      <c r="BFJ13" s="207"/>
      <c r="BFK13" s="207"/>
      <c r="BFL13" s="207"/>
      <c r="BFM13" s="207"/>
      <c r="BFN13" s="207"/>
      <c r="BFO13" s="207"/>
      <c r="BFP13" s="207"/>
      <c r="BFQ13" s="207"/>
      <c r="BFR13" s="207"/>
      <c r="BFS13" s="207"/>
      <c r="BFT13" s="207"/>
      <c r="BFU13" s="207"/>
      <c r="BFV13" s="207"/>
      <c r="BFW13" s="207"/>
      <c r="BFX13" s="207"/>
      <c r="BFY13" s="207"/>
      <c r="BFZ13" s="207"/>
      <c r="BGA13" s="207"/>
      <c r="BGB13" s="207"/>
      <c r="BGC13" s="207"/>
      <c r="BGD13" s="207"/>
      <c r="BGE13" s="207"/>
      <c r="BGF13" s="207"/>
      <c r="BGG13" s="207"/>
      <c r="BGH13" s="207"/>
      <c r="BGI13" s="207"/>
      <c r="BGJ13" s="207"/>
      <c r="BGK13" s="207"/>
      <c r="BGL13" s="207"/>
      <c r="BGM13" s="207"/>
      <c r="BGN13" s="207"/>
      <c r="BGO13" s="207"/>
      <c r="BGP13" s="207"/>
      <c r="BGQ13" s="207"/>
      <c r="BGR13" s="207"/>
      <c r="BGS13" s="207"/>
      <c r="BGT13" s="207"/>
      <c r="BGU13" s="207"/>
      <c r="BGV13" s="207"/>
      <c r="BGW13" s="207"/>
      <c r="BGX13" s="207"/>
      <c r="BGY13" s="207"/>
      <c r="BGZ13" s="207"/>
      <c r="BHA13" s="207"/>
      <c r="BHB13" s="207"/>
      <c r="BHC13" s="207"/>
      <c r="BHD13" s="207"/>
      <c r="BHE13" s="208"/>
      <c r="BHF13" s="73"/>
    </row>
    <row r="14" spans="1:1566" ht="12.75" customHeight="1" thickBot="1" x14ac:dyDescent="0.35">
      <c r="B14" s="51"/>
      <c r="C14" s="219"/>
      <c r="D14" s="118"/>
      <c r="E14" s="217"/>
      <c r="F14" s="81"/>
      <c r="G14" s="82"/>
      <c r="H14" s="82"/>
      <c r="I14" s="82"/>
      <c r="J14" s="205" t="s">
        <v>44</v>
      </c>
      <c r="K14" s="205"/>
      <c r="L14" s="205"/>
      <c r="M14" s="205"/>
      <c r="N14" s="82"/>
      <c r="O14" s="82"/>
      <c r="P14" s="203" t="s">
        <v>45</v>
      </c>
      <c r="Q14" s="203"/>
      <c r="R14" s="203"/>
      <c r="S14" s="203"/>
      <c r="T14" s="102"/>
      <c r="U14" s="102"/>
      <c r="V14" s="205" t="s">
        <v>46</v>
      </c>
      <c r="W14" s="205"/>
      <c r="X14" s="205"/>
      <c r="Y14" s="205"/>
      <c r="Z14" s="82"/>
      <c r="AA14" s="82"/>
      <c r="AB14" s="203" t="s">
        <v>47</v>
      </c>
      <c r="AC14" s="203"/>
      <c r="AD14" s="203"/>
      <c r="AE14" s="203"/>
      <c r="AF14" s="102"/>
      <c r="AG14" s="102"/>
      <c r="AH14" s="205" t="s">
        <v>48</v>
      </c>
      <c r="AI14" s="205"/>
      <c r="AJ14" s="205"/>
      <c r="AK14" s="205"/>
      <c r="AL14" s="82"/>
      <c r="AM14" s="82"/>
      <c r="AN14" s="203" t="s">
        <v>49</v>
      </c>
      <c r="AO14" s="203"/>
      <c r="AP14" s="203"/>
      <c r="AQ14" s="203"/>
      <c r="AR14" s="102"/>
      <c r="AS14" s="102"/>
      <c r="AT14" s="205" t="s">
        <v>50</v>
      </c>
      <c r="AU14" s="205"/>
      <c r="AV14" s="205"/>
      <c r="AW14" s="205"/>
      <c r="AX14" s="82"/>
      <c r="AY14" s="82"/>
      <c r="AZ14" s="203" t="s">
        <v>51</v>
      </c>
      <c r="BA14" s="203"/>
      <c r="BB14" s="203"/>
      <c r="BC14" s="203"/>
      <c r="BD14" s="102"/>
      <c r="BE14" s="102"/>
      <c r="BF14" s="205" t="s">
        <v>52</v>
      </c>
      <c r="BG14" s="205"/>
      <c r="BH14" s="205"/>
      <c r="BI14" s="205"/>
      <c r="BJ14" s="82"/>
      <c r="BK14" s="82"/>
      <c r="BL14" s="82"/>
      <c r="BM14" s="83"/>
      <c r="BN14" s="81"/>
      <c r="BO14" s="82"/>
      <c r="BP14" s="82"/>
      <c r="BQ14" s="82"/>
      <c r="BR14" s="205" t="s">
        <v>44</v>
      </c>
      <c r="BS14" s="205"/>
      <c r="BT14" s="205"/>
      <c r="BU14" s="205"/>
      <c r="BV14" s="82"/>
      <c r="BW14" s="82"/>
      <c r="BX14" s="203" t="s">
        <v>45</v>
      </c>
      <c r="BY14" s="203"/>
      <c r="BZ14" s="203"/>
      <c r="CA14" s="203"/>
      <c r="CB14" s="102"/>
      <c r="CC14" s="102"/>
      <c r="CD14" s="205" t="s">
        <v>46</v>
      </c>
      <c r="CE14" s="205"/>
      <c r="CF14" s="205"/>
      <c r="CG14" s="205"/>
      <c r="CH14" s="82"/>
      <c r="CI14" s="82"/>
      <c r="CJ14" s="203" t="s">
        <v>47</v>
      </c>
      <c r="CK14" s="203"/>
      <c r="CL14" s="203"/>
      <c r="CM14" s="203"/>
      <c r="CN14" s="102"/>
      <c r="CO14" s="102"/>
      <c r="CP14" s="205" t="s">
        <v>48</v>
      </c>
      <c r="CQ14" s="205"/>
      <c r="CR14" s="205"/>
      <c r="CS14" s="205"/>
      <c r="CT14" s="82"/>
      <c r="CU14" s="82"/>
      <c r="CV14" s="203" t="s">
        <v>49</v>
      </c>
      <c r="CW14" s="203"/>
      <c r="CX14" s="203"/>
      <c r="CY14" s="203"/>
      <c r="CZ14" s="102"/>
      <c r="DA14" s="102"/>
      <c r="DB14" s="205" t="s">
        <v>50</v>
      </c>
      <c r="DC14" s="205"/>
      <c r="DD14" s="205"/>
      <c r="DE14" s="205"/>
      <c r="DF14" s="82"/>
      <c r="DG14" s="82"/>
      <c r="DH14" s="203" t="s">
        <v>51</v>
      </c>
      <c r="DI14" s="203"/>
      <c r="DJ14" s="203"/>
      <c r="DK14" s="203"/>
      <c r="DL14" s="102"/>
      <c r="DM14" s="102"/>
      <c r="DN14" s="205" t="s">
        <v>52</v>
      </c>
      <c r="DO14" s="205"/>
      <c r="DP14" s="205"/>
      <c r="DQ14" s="205"/>
      <c r="DR14" s="82"/>
      <c r="DS14" s="82"/>
      <c r="DT14" s="82"/>
      <c r="DU14" s="83"/>
      <c r="DV14" s="81"/>
      <c r="DW14" s="82"/>
      <c r="DX14" s="82"/>
      <c r="DY14" s="82"/>
      <c r="DZ14" s="205" t="s">
        <v>44</v>
      </c>
      <c r="EA14" s="205"/>
      <c r="EB14" s="205"/>
      <c r="EC14" s="205"/>
      <c r="ED14" s="82"/>
      <c r="EE14" s="82"/>
      <c r="EF14" s="203" t="s">
        <v>45</v>
      </c>
      <c r="EG14" s="203"/>
      <c r="EH14" s="203"/>
      <c r="EI14" s="203"/>
      <c r="EJ14" s="102"/>
      <c r="EK14" s="102"/>
      <c r="EL14" s="205" t="s">
        <v>46</v>
      </c>
      <c r="EM14" s="205"/>
      <c r="EN14" s="205"/>
      <c r="EO14" s="205"/>
      <c r="EP14" s="82"/>
      <c r="EQ14" s="82"/>
      <c r="ER14" s="203" t="s">
        <v>47</v>
      </c>
      <c r="ES14" s="203"/>
      <c r="ET14" s="203"/>
      <c r="EU14" s="203"/>
      <c r="EV14" s="102"/>
      <c r="EW14" s="102"/>
      <c r="EX14" s="205" t="s">
        <v>48</v>
      </c>
      <c r="EY14" s="205"/>
      <c r="EZ14" s="205"/>
      <c r="FA14" s="205"/>
      <c r="FB14" s="82"/>
      <c r="FC14" s="82"/>
      <c r="FD14" s="203" t="s">
        <v>49</v>
      </c>
      <c r="FE14" s="203"/>
      <c r="FF14" s="203"/>
      <c r="FG14" s="203"/>
      <c r="FH14" s="102"/>
      <c r="FI14" s="102"/>
      <c r="FJ14" s="205" t="s">
        <v>50</v>
      </c>
      <c r="FK14" s="205"/>
      <c r="FL14" s="205"/>
      <c r="FM14" s="205"/>
      <c r="FN14" s="82"/>
      <c r="FO14" s="82"/>
      <c r="FP14" s="203" t="s">
        <v>51</v>
      </c>
      <c r="FQ14" s="203"/>
      <c r="FR14" s="203"/>
      <c r="FS14" s="203"/>
      <c r="FT14" s="102"/>
      <c r="FU14" s="102"/>
      <c r="FV14" s="205" t="s">
        <v>52</v>
      </c>
      <c r="FW14" s="205"/>
      <c r="FX14" s="205"/>
      <c r="FY14" s="205"/>
      <c r="FZ14" s="82"/>
      <c r="GA14" s="82"/>
      <c r="GB14" s="82"/>
      <c r="GC14" s="83"/>
      <c r="GD14" s="81"/>
      <c r="GE14" s="82"/>
      <c r="GF14" s="82"/>
      <c r="GG14" s="82"/>
      <c r="GH14" s="205" t="s">
        <v>44</v>
      </c>
      <c r="GI14" s="205"/>
      <c r="GJ14" s="205"/>
      <c r="GK14" s="205"/>
      <c r="GL14" s="82"/>
      <c r="GM14" s="82"/>
      <c r="GN14" s="203" t="s">
        <v>45</v>
      </c>
      <c r="GO14" s="203"/>
      <c r="GP14" s="203"/>
      <c r="GQ14" s="203"/>
      <c r="GR14" s="102"/>
      <c r="GS14" s="102"/>
      <c r="GT14" s="205" t="s">
        <v>46</v>
      </c>
      <c r="GU14" s="205"/>
      <c r="GV14" s="205"/>
      <c r="GW14" s="205"/>
      <c r="GX14" s="82"/>
      <c r="GY14" s="82"/>
      <c r="GZ14" s="203" t="s">
        <v>47</v>
      </c>
      <c r="HA14" s="203"/>
      <c r="HB14" s="203"/>
      <c r="HC14" s="203"/>
      <c r="HD14" s="102"/>
      <c r="HE14" s="102"/>
      <c r="HF14" s="205" t="s">
        <v>48</v>
      </c>
      <c r="HG14" s="205"/>
      <c r="HH14" s="205"/>
      <c r="HI14" s="205"/>
      <c r="HJ14" s="82"/>
      <c r="HK14" s="82"/>
      <c r="HL14" s="203" t="s">
        <v>49</v>
      </c>
      <c r="HM14" s="203"/>
      <c r="HN14" s="203"/>
      <c r="HO14" s="203"/>
      <c r="HP14" s="102"/>
      <c r="HQ14" s="102"/>
      <c r="HR14" s="205" t="s">
        <v>50</v>
      </c>
      <c r="HS14" s="205"/>
      <c r="HT14" s="205"/>
      <c r="HU14" s="205"/>
      <c r="HV14" s="82"/>
      <c r="HW14" s="82"/>
      <c r="HX14" s="203" t="s">
        <v>51</v>
      </c>
      <c r="HY14" s="203"/>
      <c r="HZ14" s="203"/>
      <c r="IA14" s="203"/>
      <c r="IB14" s="102"/>
      <c r="IC14" s="102"/>
      <c r="ID14" s="205" t="s">
        <v>52</v>
      </c>
      <c r="IE14" s="205"/>
      <c r="IF14" s="205"/>
      <c r="IG14" s="205"/>
      <c r="IH14" s="82"/>
      <c r="II14" s="82"/>
      <c r="IJ14" s="82"/>
      <c r="IK14" s="83"/>
      <c r="IL14" s="81"/>
      <c r="IM14" s="82"/>
      <c r="IN14" s="82"/>
      <c r="IO14" s="82"/>
      <c r="IP14" s="205" t="s">
        <v>44</v>
      </c>
      <c r="IQ14" s="205"/>
      <c r="IR14" s="205"/>
      <c r="IS14" s="205"/>
      <c r="IT14" s="82"/>
      <c r="IU14" s="82"/>
      <c r="IV14" s="203" t="s">
        <v>45</v>
      </c>
      <c r="IW14" s="203"/>
      <c r="IX14" s="203"/>
      <c r="IY14" s="203"/>
      <c r="IZ14" s="102"/>
      <c r="JA14" s="102"/>
      <c r="JB14" s="205" t="s">
        <v>46</v>
      </c>
      <c r="JC14" s="205"/>
      <c r="JD14" s="205"/>
      <c r="JE14" s="205"/>
      <c r="JF14" s="82"/>
      <c r="JG14" s="82"/>
      <c r="JH14" s="203" t="s">
        <v>47</v>
      </c>
      <c r="JI14" s="203"/>
      <c r="JJ14" s="203"/>
      <c r="JK14" s="203"/>
      <c r="JL14" s="102"/>
      <c r="JM14" s="102"/>
      <c r="JN14" s="205" t="s">
        <v>48</v>
      </c>
      <c r="JO14" s="205"/>
      <c r="JP14" s="205"/>
      <c r="JQ14" s="205"/>
      <c r="JR14" s="82"/>
      <c r="JS14" s="82"/>
      <c r="JT14" s="203" t="s">
        <v>49</v>
      </c>
      <c r="JU14" s="203"/>
      <c r="JV14" s="203"/>
      <c r="JW14" s="203"/>
      <c r="JX14" s="102"/>
      <c r="JY14" s="102"/>
      <c r="JZ14" s="205" t="s">
        <v>50</v>
      </c>
      <c r="KA14" s="205"/>
      <c r="KB14" s="205"/>
      <c r="KC14" s="205"/>
      <c r="KD14" s="82"/>
      <c r="KE14" s="82"/>
      <c r="KF14" s="203" t="s">
        <v>51</v>
      </c>
      <c r="KG14" s="203"/>
      <c r="KH14" s="203"/>
      <c r="KI14" s="203"/>
      <c r="KJ14" s="102"/>
      <c r="KK14" s="102"/>
      <c r="KL14" s="205" t="s">
        <v>52</v>
      </c>
      <c r="KM14" s="205"/>
      <c r="KN14" s="205"/>
      <c r="KO14" s="205"/>
      <c r="KP14" s="82"/>
      <c r="KQ14" s="82"/>
      <c r="KR14" s="82"/>
      <c r="KS14" s="83"/>
      <c r="KT14" s="81"/>
      <c r="KU14" s="82"/>
      <c r="KV14" s="82"/>
      <c r="KW14" s="82"/>
      <c r="KX14" s="205" t="s">
        <v>44</v>
      </c>
      <c r="KY14" s="205"/>
      <c r="KZ14" s="205"/>
      <c r="LA14" s="205"/>
      <c r="LB14" s="82"/>
      <c r="LC14" s="82"/>
      <c r="LD14" s="203" t="s">
        <v>45</v>
      </c>
      <c r="LE14" s="203"/>
      <c r="LF14" s="203"/>
      <c r="LG14" s="203"/>
      <c r="LH14" s="102"/>
      <c r="LI14" s="102"/>
      <c r="LJ14" s="205" t="s">
        <v>46</v>
      </c>
      <c r="LK14" s="205"/>
      <c r="LL14" s="205"/>
      <c r="LM14" s="205"/>
      <c r="LN14" s="82"/>
      <c r="LO14" s="82"/>
      <c r="LP14" s="203" t="s">
        <v>47</v>
      </c>
      <c r="LQ14" s="203"/>
      <c r="LR14" s="203"/>
      <c r="LS14" s="203"/>
      <c r="LT14" s="102"/>
      <c r="LU14" s="102"/>
      <c r="LV14" s="205" t="s">
        <v>48</v>
      </c>
      <c r="LW14" s="205"/>
      <c r="LX14" s="205"/>
      <c r="LY14" s="205"/>
      <c r="LZ14" s="82"/>
      <c r="MA14" s="82"/>
      <c r="MB14" s="203" t="s">
        <v>49</v>
      </c>
      <c r="MC14" s="203"/>
      <c r="MD14" s="203"/>
      <c r="ME14" s="203"/>
      <c r="MF14" s="102"/>
      <c r="MG14" s="102"/>
      <c r="MH14" s="205" t="s">
        <v>50</v>
      </c>
      <c r="MI14" s="205"/>
      <c r="MJ14" s="205"/>
      <c r="MK14" s="205"/>
      <c r="ML14" s="82"/>
      <c r="MM14" s="82"/>
      <c r="MN14" s="203" t="s">
        <v>51</v>
      </c>
      <c r="MO14" s="203"/>
      <c r="MP14" s="203"/>
      <c r="MQ14" s="203"/>
      <c r="MR14" s="102"/>
      <c r="MS14" s="102"/>
      <c r="MT14" s="205" t="s">
        <v>52</v>
      </c>
      <c r="MU14" s="205"/>
      <c r="MV14" s="205"/>
      <c r="MW14" s="205"/>
      <c r="MX14" s="82"/>
      <c r="MY14" s="82"/>
      <c r="MZ14" s="82"/>
      <c r="NA14" s="83"/>
      <c r="NB14" s="81"/>
      <c r="NC14" s="82"/>
      <c r="ND14" s="82"/>
      <c r="NE14" s="82"/>
      <c r="NF14" s="205" t="s">
        <v>44</v>
      </c>
      <c r="NG14" s="205"/>
      <c r="NH14" s="205"/>
      <c r="NI14" s="205"/>
      <c r="NJ14" s="82"/>
      <c r="NK14" s="82"/>
      <c r="NL14" s="203" t="s">
        <v>45</v>
      </c>
      <c r="NM14" s="203"/>
      <c r="NN14" s="203"/>
      <c r="NO14" s="203"/>
      <c r="NP14" s="102"/>
      <c r="NQ14" s="102"/>
      <c r="NR14" s="205" t="s">
        <v>46</v>
      </c>
      <c r="NS14" s="205"/>
      <c r="NT14" s="205"/>
      <c r="NU14" s="205"/>
      <c r="NV14" s="82"/>
      <c r="NW14" s="82"/>
      <c r="NX14" s="203" t="s">
        <v>47</v>
      </c>
      <c r="NY14" s="203"/>
      <c r="NZ14" s="203"/>
      <c r="OA14" s="203"/>
      <c r="OB14" s="102"/>
      <c r="OC14" s="102"/>
      <c r="OD14" s="205" t="s">
        <v>48</v>
      </c>
      <c r="OE14" s="205"/>
      <c r="OF14" s="205"/>
      <c r="OG14" s="205"/>
      <c r="OH14" s="82"/>
      <c r="OI14" s="82"/>
      <c r="OJ14" s="203" t="s">
        <v>49</v>
      </c>
      <c r="OK14" s="203"/>
      <c r="OL14" s="203"/>
      <c r="OM14" s="203"/>
      <c r="ON14" s="102"/>
      <c r="OO14" s="102"/>
      <c r="OP14" s="205" t="s">
        <v>50</v>
      </c>
      <c r="OQ14" s="205"/>
      <c r="OR14" s="205"/>
      <c r="OS14" s="205"/>
      <c r="OT14" s="82"/>
      <c r="OU14" s="82"/>
      <c r="OV14" s="203" t="s">
        <v>51</v>
      </c>
      <c r="OW14" s="203"/>
      <c r="OX14" s="203"/>
      <c r="OY14" s="203"/>
      <c r="OZ14" s="102"/>
      <c r="PA14" s="102"/>
      <c r="PB14" s="205" t="s">
        <v>52</v>
      </c>
      <c r="PC14" s="205"/>
      <c r="PD14" s="205"/>
      <c r="PE14" s="205"/>
      <c r="PF14" s="82"/>
      <c r="PG14" s="82"/>
      <c r="PH14" s="82"/>
      <c r="PI14" s="83"/>
      <c r="PJ14" s="81"/>
      <c r="PK14" s="82"/>
      <c r="PL14" s="82"/>
      <c r="PM14" s="82"/>
      <c r="PN14" s="205" t="s">
        <v>44</v>
      </c>
      <c r="PO14" s="205"/>
      <c r="PP14" s="205"/>
      <c r="PQ14" s="205"/>
      <c r="PR14" s="82"/>
      <c r="PS14" s="82"/>
      <c r="PT14" s="203" t="s">
        <v>45</v>
      </c>
      <c r="PU14" s="203"/>
      <c r="PV14" s="203"/>
      <c r="PW14" s="203"/>
      <c r="PX14" s="102"/>
      <c r="PY14" s="102"/>
      <c r="PZ14" s="205" t="s">
        <v>46</v>
      </c>
      <c r="QA14" s="205"/>
      <c r="QB14" s="205"/>
      <c r="QC14" s="205"/>
      <c r="QD14" s="82"/>
      <c r="QE14" s="82"/>
      <c r="QF14" s="203" t="s">
        <v>47</v>
      </c>
      <c r="QG14" s="203"/>
      <c r="QH14" s="203"/>
      <c r="QI14" s="203"/>
      <c r="QJ14" s="102"/>
      <c r="QK14" s="102"/>
      <c r="QL14" s="205" t="s">
        <v>48</v>
      </c>
      <c r="QM14" s="205"/>
      <c r="QN14" s="205"/>
      <c r="QO14" s="205"/>
      <c r="QP14" s="82"/>
      <c r="QQ14" s="82"/>
      <c r="QR14" s="203" t="s">
        <v>49</v>
      </c>
      <c r="QS14" s="203"/>
      <c r="QT14" s="203"/>
      <c r="QU14" s="203"/>
      <c r="QV14" s="102"/>
      <c r="QW14" s="102"/>
      <c r="QX14" s="205" t="s">
        <v>50</v>
      </c>
      <c r="QY14" s="205"/>
      <c r="QZ14" s="205"/>
      <c r="RA14" s="205"/>
      <c r="RB14" s="82"/>
      <c r="RC14" s="82"/>
      <c r="RD14" s="203" t="s">
        <v>51</v>
      </c>
      <c r="RE14" s="203"/>
      <c r="RF14" s="203"/>
      <c r="RG14" s="203"/>
      <c r="RH14" s="102"/>
      <c r="RI14" s="102"/>
      <c r="RJ14" s="205" t="s">
        <v>52</v>
      </c>
      <c r="RK14" s="205"/>
      <c r="RL14" s="205"/>
      <c r="RM14" s="205"/>
      <c r="RN14" s="82"/>
      <c r="RO14" s="82"/>
      <c r="RP14" s="82"/>
      <c r="RQ14" s="83"/>
      <c r="RR14" s="81"/>
      <c r="RS14" s="82"/>
      <c r="RT14" s="82"/>
      <c r="RU14" s="82"/>
      <c r="RV14" s="205" t="s">
        <v>44</v>
      </c>
      <c r="RW14" s="205"/>
      <c r="RX14" s="205"/>
      <c r="RY14" s="205"/>
      <c r="RZ14" s="82"/>
      <c r="SA14" s="82"/>
      <c r="SB14" s="203" t="s">
        <v>45</v>
      </c>
      <c r="SC14" s="203"/>
      <c r="SD14" s="203"/>
      <c r="SE14" s="203"/>
      <c r="SF14" s="102"/>
      <c r="SG14" s="102"/>
      <c r="SH14" s="205" t="s">
        <v>46</v>
      </c>
      <c r="SI14" s="205"/>
      <c r="SJ14" s="205"/>
      <c r="SK14" s="205"/>
      <c r="SL14" s="82"/>
      <c r="SM14" s="82"/>
      <c r="SN14" s="203" t="s">
        <v>47</v>
      </c>
      <c r="SO14" s="203"/>
      <c r="SP14" s="203"/>
      <c r="SQ14" s="203"/>
      <c r="SR14" s="102"/>
      <c r="SS14" s="102"/>
      <c r="ST14" s="205" t="s">
        <v>48</v>
      </c>
      <c r="SU14" s="205"/>
      <c r="SV14" s="205"/>
      <c r="SW14" s="205"/>
      <c r="SX14" s="82"/>
      <c r="SY14" s="82"/>
      <c r="SZ14" s="203" t="s">
        <v>49</v>
      </c>
      <c r="TA14" s="203"/>
      <c r="TB14" s="203"/>
      <c r="TC14" s="203"/>
      <c r="TD14" s="102"/>
      <c r="TE14" s="102"/>
      <c r="TF14" s="205" t="s">
        <v>50</v>
      </c>
      <c r="TG14" s="205"/>
      <c r="TH14" s="205"/>
      <c r="TI14" s="205"/>
      <c r="TJ14" s="82"/>
      <c r="TK14" s="82"/>
      <c r="TL14" s="203" t="s">
        <v>51</v>
      </c>
      <c r="TM14" s="203"/>
      <c r="TN14" s="203"/>
      <c r="TO14" s="203"/>
      <c r="TP14" s="102"/>
      <c r="TQ14" s="102"/>
      <c r="TR14" s="205" t="s">
        <v>52</v>
      </c>
      <c r="TS14" s="205"/>
      <c r="TT14" s="205"/>
      <c r="TU14" s="205"/>
      <c r="TV14" s="82"/>
      <c r="TW14" s="82"/>
      <c r="TX14" s="82"/>
      <c r="TY14" s="83"/>
      <c r="TZ14" s="81"/>
      <c r="UA14" s="82"/>
      <c r="UB14" s="82"/>
      <c r="UC14" s="82"/>
      <c r="UD14" s="205" t="s">
        <v>44</v>
      </c>
      <c r="UE14" s="205"/>
      <c r="UF14" s="205"/>
      <c r="UG14" s="205"/>
      <c r="UH14" s="82"/>
      <c r="UI14" s="82"/>
      <c r="UJ14" s="203" t="s">
        <v>45</v>
      </c>
      <c r="UK14" s="203"/>
      <c r="UL14" s="203"/>
      <c r="UM14" s="203"/>
      <c r="UN14" s="102"/>
      <c r="UO14" s="102"/>
      <c r="UP14" s="205" t="s">
        <v>46</v>
      </c>
      <c r="UQ14" s="205"/>
      <c r="UR14" s="205"/>
      <c r="US14" s="205"/>
      <c r="UT14" s="82"/>
      <c r="UU14" s="82"/>
      <c r="UV14" s="203" t="s">
        <v>47</v>
      </c>
      <c r="UW14" s="203"/>
      <c r="UX14" s="203"/>
      <c r="UY14" s="203"/>
      <c r="UZ14" s="102"/>
      <c r="VA14" s="102"/>
      <c r="VB14" s="205" t="s">
        <v>48</v>
      </c>
      <c r="VC14" s="205"/>
      <c r="VD14" s="205"/>
      <c r="VE14" s="205"/>
      <c r="VF14" s="82"/>
      <c r="VG14" s="82"/>
      <c r="VH14" s="203" t="s">
        <v>49</v>
      </c>
      <c r="VI14" s="203"/>
      <c r="VJ14" s="203"/>
      <c r="VK14" s="203"/>
      <c r="VL14" s="102"/>
      <c r="VM14" s="102"/>
      <c r="VN14" s="205" t="s">
        <v>50</v>
      </c>
      <c r="VO14" s="205"/>
      <c r="VP14" s="205"/>
      <c r="VQ14" s="205"/>
      <c r="VR14" s="82"/>
      <c r="VS14" s="82"/>
      <c r="VT14" s="203" t="s">
        <v>51</v>
      </c>
      <c r="VU14" s="203"/>
      <c r="VV14" s="203"/>
      <c r="VW14" s="203"/>
      <c r="VX14" s="102"/>
      <c r="VY14" s="102"/>
      <c r="VZ14" s="205" t="s">
        <v>52</v>
      </c>
      <c r="WA14" s="205"/>
      <c r="WB14" s="205"/>
      <c r="WC14" s="205"/>
      <c r="WD14" s="82"/>
      <c r="WE14" s="82"/>
      <c r="WF14" s="82"/>
      <c r="WG14" s="83"/>
      <c r="WH14" s="81"/>
      <c r="WI14" s="82"/>
      <c r="WJ14" s="82"/>
      <c r="WK14" s="82"/>
      <c r="WL14" s="205" t="s">
        <v>44</v>
      </c>
      <c r="WM14" s="205"/>
      <c r="WN14" s="205"/>
      <c r="WO14" s="205"/>
      <c r="WP14" s="82"/>
      <c r="WQ14" s="82"/>
      <c r="WR14" s="203" t="s">
        <v>45</v>
      </c>
      <c r="WS14" s="203"/>
      <c r="WT14" s="203"/>
      <c r="WU14" s="203"/>
      <c r="WV14" s="102"/>
      <c r="WW14" s="102"/>
      <c r="WX14" s="205" t="s">
        <v>46</v>
      </c>
      <c r="WY14" s="205"/>
      <c r="WZ14" s="205"/>
      <c r="XA14" s="205"/>
      <c r="XB14" s="82"/>
      <c r="XC14" s="82"/>
      <c r="XD14" s="203" t="s">
        <v>47</v>
      </c>
      <c r="XE14" s="203"/>
      <c r="XF14" s="203"/>
      <c r="XG14" s="203"/>
      <c r="XH14" s="102"/>
      <c r="XI14" s="102"/>
      <c r="XJ14" s="205" t="s">
        <v>48</v>
      </c>
      <c r="XK14" s="205"/>
      <c r="XL14" s="205"/>
      <c r="XM14" s="205"/>
      <c r="XN14" s="82"/>
      <c r="XO14" s="82"/>
      <c r="XP14" s="203" t="s">
        <v>49</v>
      </c>
      <c r="XQ14" s="203"/>
      <c r="XR14" s="203"/>
      <c r="XS14" s="203"/>
      <c r="XT14" s="102"/>
      <c r="XU14" s="102"/>
      <c r="XV14" s="205" t="s">
        <v>50</v>
      </c>
      <c r="XW14" s="205"/>
      <c r="XX14" s="205"/>
      <c r="XY14" s="205"/>
      <c r="XZ14" s="82"/>
      <c r="YA14" s="82"/>
      <c r="YB14" s="203" t="s">
        <v>51</v>
      </c>
      <c r="YC14" s="203"/>
      <c r="YD14" s="203"/>
      <c r="YE14" s="203"/>
      <c r="YF14" s="102"/>
      <c r="YG14" s="102"/>
      <c r="YH14" s="205" t="s">
        <v>52</v>
      </c>
      <c r="YI14" s="205"/>
      <c r="YJ14" s="205"/>
      <c r="YK14" s="205"/>
      <c r="YL14" s="82"/>
      <c r="YM14" s="82"/>
      <c r="YN14" s="82"/>
      <c r="YO14" s="83"/>
      <c r="YP14" s="81"/>
      <c r="YQ14" s="82"/>
      <c r="YR14" s="82"/>
      <c r="YS14" s="82"/>
      <c r="YT14" s="205" t="s">
        <v>44</v>
      </c>
      <c r="YU14" s="205"/>
      <c r="YV14" s="205"/>
      <c r="YW14" s="205"/>
      <c r="YX14" s="82"/>
      <c r="YY14" s="82"/>
      <c r="YZ14" s="203" t="s">
        <v>45</v>
      </c>
      <c r="ZA14" s="203"/>
      <c r="ZB14" s="203"/>
      <c r="ZC14" s="203"/>
      <c r="ZD14" s="102"/>
      <c r="ZE14" s="102"/>
      <c r="ZF14" s="205" t="s">
        <v>46</v>
      </c>
      <c r="ZG14" s="205"/>
      <c r="ZH14" s="205"/>
      <c r="ZI14" s="205"/>
      <c r="ZJ14" s="82"/>
      <c r="ZK14" s="82"/>
      <c r="ZL14" s="203" t="s">
        <v>47</v>
      </c>
      <c r="ZM14" s="203"/>
      <c r="ZN14" s="203"/>
      <c r="ZO14" s="203"/>
      <c r="ZP14" s="102"/>
      <c r="ZQ14" s="102"/>
      <c r="ZR14" s="205" t="s">
        <v>48</v>
      </c>
      <c r="ZS14" s="205"/>
      <c r="ZT14" s="205"/>
      <c r="ZU14" s="205"/>
      <c r="ZV14" s="82"/>
      <c r="ZW14" s="82"/>
      <c r="ZX14" s="203" t="s">
        <v>49</v>
      </c>
      <c r="ZY14" s="203"/>
      <c r="ZZ14" s="203"/>
      <c r="AAA14" s="203"/>
      <c r="AAB14" s="102"/>
      <c r="AAC14" s="102"/>
      <c r="AAD14" s="205" t="s">
        <v>50</v>
      </c>
      <c r="AAE14" s="205"/>
      <c r="AAF14" s="205"/>
      <c r="AAG14" s="205"/>
      <c r="AAH14" s="82"/>
      <c r="AAI14" s="82"/>
      <c r="AAJ14" s="203" t="s">
        <v>51</v>
      </c>
      <c r="AAK14" s="203"/>
      <c r="AAL14" s="203"/>
      <c r="AAM14" s="203"/>
      <c r="AAN14" s="102"/>
      <c r="AAO14" s="102"/>
      <c r="AAP14" s="205" t="s">
        <v>52</v>
      </c>
      <c r="AAQ14" s="205"/>
      <c r="AAR14" s="205"/>
      <c r="AAS14" s="205"/>
      <c r="AAT14" s="82"/>
      <c r="AAU14" s="82"/>
      <c r="AAV14" s="82"/>
      <c r="AAW14" s="83"/>
      <c r="AAX14" s="81"/>
      <c r="AAY14" s="82"/>
      <c r="AAZ14" s="82"/>
      <c r="ABA14" s="82"/>
      <c r="ABB14" s="205" t="s">
        <v>44</v>
      </c>
      <c r="ABC14" s="205"/>
      <c r="ABD14" s="205"/>
      <c r="ABE14" s="205"/>
      <c r="ABF14" s="82"/>
      <c r="ABG14" s="82"/>
      <c r="ABH14" s="203" t="s">
        <v>45</v>
      </c>
      <c r="ABI14" s="203"/>
      <c r="ABJ14" s="203"/>
      <c r="ABK14" s="203"/>
      <c r="ABL14" s="102"/>
      <c r="ABM14" s="102"/>
      <c r="ABN14" s="205" t="s">
        <v>46</v>
      </c>
      <c r="ABO14" s="205"/>
      <c r="ABP14" s="205"/>
      <c r="ABQ14" s="205"/>
      <c r="ABR14" s="82"/>
      <c r="ABS14" s="82"/>
      <c r="ABT14" s="203" t="s">
        <v>47</v>
      </c>
      <c r="ABU14" s="203"/>
      <c r="ABV14" s="203"/>
      <c r="ABW14" s="203"/>
      <c r="ABX14" s="102"/>
      <c r="ABY14" s="102"/>
      <c r="ABZ14" s="205" t="s">
        <v>48</v>
      </c>
      <c r="ACA14" s="205"/>
      <c r="ACB14" s="205"/>
      <c r="ACC14" s="205"/>
      <c r="ACD14" s="82"/>
      <c r="ACE14" s="82"/>
      <c r="ACF14" s="203" t="s">
        <v>49</v>
      </c>
      <c r="ACG14" s="203"/>
      <c r="ACH14" s="203"/>
      <c r="ACI14" s="203"/>
      <c r="ACJ14" s="102"/>
      <c r="ACK14" s="102"/>
      <c r="ACL14" s="205" t="s">
        <v>50</v>
      </c>
      <c r="ACM14" s="205"/>
      <c r="ACN14" s="205"/>
      <c r="ACO14" s="205"/>
      <c r="ACP14" s="82"/>
      <c r="ACQ14" s="82"/>
      <c r="ACR14" s="203" t="s">
        <v>51</v>
      </c>
      <c r="ACS14" s="203"/>
      <c r="ACT14" s="203"/>
      <c r="ACU14" s="203"/>
      <c r="ACV14" s="102"/>
      <c r="ACW14" s="102"/>
      <c r="ACX14" s="205" t="s">
        <v>52</v>
      </c>
      <c r="ACY14" s="205"/>
      <c r="ACZ14" s="205"/>
      <c r="ADA14" s="205"/>
      <c r="ADB14" s="82"/>
      <c r="ADC14" s="82"/>
      <c r="ADD14" s="82"/>
      <c r="ADE14" s="83"/>
      <c r="ADF14" s="81"/>
      <c r="ADG14" s="82"/>
      <c r="ADH14" s="82"/>
      <c r="ADI14" s="82"/>
      <c r="ADJ14" s="205" t="s">
        <v>44</v>
      </c>
      <c r="ADK14" s="205"/>
      <c r="ADL14" s="205"/>
      <c r="ADM14" s="205"/>
      <c r="ADN14" s="82"/>
      <c r="ADO14" s="82"/>
      <c r="ADP14" s="203" t="s">
        <v>45</v>
      </c>
      <c r="ADQ14" s="203"/>
      <c r="ADR14" s="203"/>
      <c r="ADS14" s="203"/>
      <c r="ADT14" s="102"/>
      <c r="ADU14" s="102"/>
      <c r="ADV14" s="205" t="s">
        <v>46</v>
      </c>
      <c r="ADW14" s="205"/>
      <c r="ADX14" s="205"/>
      <c r="ADY14" s="205"/>
      <c r="ADZ14" s="82"/>
      <c r="AEA14" s="82"/>
      <c r="AEB14" s="203" t="s">
        <v>47</v>
      </c>
      <c r="AEC14" s="203"/>
      <c r="AED14" s="203"/>
      <c r="AEE14" s="203"/>
      <c r="AEF14" s="102"/>
      <c r="AEG14" s="102"/>
      <c r="AEH14" s="205" t="s">
        <v>48</v>
      </c>
      <c r="AEI14" s="205"/>
      <c r="AEJ14" s="205"/>
      <c r="AEK14" s="205"/>
      <c r="AEL14" s="82"/>
      <c r="AEM14" s="82"/>
      <c r="AEN14" s="203" t="s">
        <v>49</v>
      </c>
      <c r="AEO14" s="203"/>
      <c r="AEP14" s="203"/>
      <c r="AEQ14" s="203"/>
      <c r="AER14" s="102"/>
      <c r="AES14" s="102"/>
      <c r="AET14" s="205" t="s">
        <v>50</v>
      </c>
      <c r="AEU14" s="205"/>
      <c r="AEV14" s="205"/>
      <c r="AEW14" s="205"/>
      <c r="AEX14" s="82"/>
      <c r="AEY14" s="82"/>
      <c r="AEZ14" s="203" t="s">
        <v>51</v>
      </c>
      <c r="AFA14" s="203"/>
      <c r="AFB14" s="203"/>
      <c r="AFC14" s="203"/>
      <c r="AFD14" s="102"/>
      <c r="AFE14" s="102"/>
      <c r="AFF14" s="205" t="s">
        <v>52</v>
      </c>
      <c r="AFG14" s="205"/>
      <c r="AFH14" s="205"/>
      <c r="AFI14" s="205"/>
      <c r="AFJ14" s="82"/>
      <c r="AFK14" s="82"/>
      <c r="AFL14" s="82"/>
      <c r="AFM14" s="83"/>
      <c r="AFN14" s="81"/>
      <c r="AFO14" s="82"/>
      <c r="AFP14" s="82"/>
      <c r="AFQ14" s="82"/>
      <c r="AFR14" s="205" t="s">
        <v>44</v>
      </c>
      <c r="AFS14" s="205"/>
      <c r="AFT14" s="205"/>
      <c r="AFU14" s="205"/>
      <c r="AFV14" s="82"/>
      <c r="AFW14" s="82"/>
      <c r="AFX14" s="203" t="s">
        <v>45</v>
      </c>
      <c r="AFY14" s="203"/>
      <c r="AFZ14" s="203"/>
      <c r="AGA14" s="203"/>
      <c r="AGB14" s="102"/>
      <c r="AGC14" s="102"/>
      <c r="AGD14" s="205" t="s">
        <v>46</v>
      </c>
      <c r="AGE14" s="205"/>
      <c r="AGF14" s="205"/>
      <c r="AGG14" s="205"/>
      <c r="AGH14" s="82"/>
      <c r="AGI14" s="82"/>
      <c r="AGJ14" s="203" t="s">
        <v>47</v>
      </c>
      <c r="AGK14" s="203"/>
      <c r="AGL14" s="203"/>
      <c r="AGM14" s="203"/>
      <c r="AGN14" s="102"/>
      <c r="AGO14" s="102"/>
      <c r="AGP14" s="205" t="s">
        <v>48</v>
      </c>
      <c r="AGQ14" s="205"/>
      <c r="AGR14" s="205"/>
      <c r="AGS14" s="205"/>
      <c r="AGT14" s="82"/>
      <c r="AGU14" s="82"/>
      <c r="AGV14" s="203" t="s">
        <v>49</v>
      </c>
      <c r="AGW14" s="203"/>
      <c r="AGX14" s="203"/>
      <c r="AGY14" s="203"/>
      <c r="AGZ14" s="102"/>
      <c r="AHA14" s="102"/>
      <c r="AHB14" s="205" t="s">
        <v>50</v>
      </c>
      <c r="AHC14" s="205"/>
      <c r="AHD14" s="205"/>
      <c r="AHE14" s="205"/>
      <c r="AHF14" s="82"/>
      <c r="AHG14" s="82"/>
      <c r="AHH14" s="203" t="s">
        <v>51</v>
      </c>
      <c r="AHI14" s="203"/>
      <c r="AHJ14" s="203"/>
      <c r="AHK14" s="203"/>
      <c r="AHL14" s="102"/>
      <c r="AHM14" s="102"/>
      <c r="AHN14" s="205" t="s">
        <v>52</v>
      </c>
      <c r="AHO14" s="205"/>
      <c r="AHP14" s="205"/>
      <c r="AHQ14" s="205"/>
      <c r="AHR14" s="82"/>
      <c r="AHS14" s="82"/>
      <c r="AHT14" s="82"/>
      <c r="AHU14" s="83"/>
      <c r="AHV14" s="81"/>
      <c r="AHW14" s="82"/>
      <c r="AHX14" s="82"/>
      <c r="AHY14" s="82"/>
      <c r="AHZ14" s="205" t="s">
        <v>44</v>
      </c>
      <c r="AIA14" s="205"/>
      <c r="AIB14" s="205"/>
      <c r="AIC14" s="205"/>
      <c r="AID14" s="82"/>
      <c r="AIE14" s="82"/>
      <c r="AIF14" s="203" t="s">
        <v>45</v>
      </c>
      <c r="AIG14" s="203"/>
      <c r="AIH14" s="203"/>
      <c r="AII14" s="203"/>
      <c r="AIJ14" s="102"/>
      <c r="AIK14" s="102"/>
      <c r="AIL14" s="205" t="s">
        <v>46</v>
      </c>
      <c r="AIM14" s="205"/>
      <c r="AIN14" s="205"/>
      <c r="AIO14" s="205"/>
      <c r="AIP14" s="82"/>
      <c r="AIQ14" s="82"/>
      <c r="AIR14" s="203" t="s">
        <v>47</v>
      </c>
      <c r="AIS14" s="203"/>
      <c r="AIT14" s="203"/>
      <c r="AIU14" s="203"/>
      <c r="AIV14" s="102"/>
      <c r="AIW14" s="102"/>
      <c r="AIX14" s="205" t="s">
        <v>48</v>
      </c>
      <c r="AIY14" s="205"/>
      <c r="AIZ14" s="205"/>
      <c r="AJA14" s="205"/>
      <c r="AJB14" s="82"/>
      <c r="AJC14" s="82"/>
      <c r="AJD14" s="203" t="s">
        <v>49</v>
      </c>
      <c r="AJE14" s="203"/>
      <c r="AJF14" s="203"/>
      <c r="AJG14" s="203"/>
      <c r="AJH14" s="102"/>
      <c r="AJI14" s="102"/>
      <c r="AJJ14" s="205" t="s">
        <v>50</v>
      </c>
      <c r="AJK14" s="205"/>
      <c r="AJL14" s="205"/>
      <c r="AJM14" s="205"/>
      <c r="AJN14" s="82"/>
      <c r="AJO14" s="82"/>
      <c r="AJP14" s="203" t="s">
        <v>51</v>
      </c>
      <c r="AJQ14" s="203"/>
      <c r="AJR14" s="203"/>
      <c r="AJS14" s="203"/>
      <c r="AJT14" s="102"/>
      <c r="AJU14" s="102"/>
      <c r="AJV14" s="205" t="s">
        <v>52</v>
      </c>
      <c r="AJW14" s="205"/>
      <c r="AJX14" s="205"/>
      <c r="AJY14" s="205"/>
      <c r="AJZ14" s="82"/>
      <c r="AKA14" s="82"/>
      <c r="AKB14" s="82"/>
      <c r="AKC14" s="83"/>
      <c r="AKD14" s="81"/>
      <c r="AKE14" s="82"/>
      <c r="AKF14" s="82"/>
      <c r="AKG14" s="82"/>
      <c r="AKH14" s="205" t="s">
        <v>44</v>
      </c>
      <c r="AKI14" s="205"/>
      <c r="AKJ14" s="205"/>
      <c r="AKK14" s="205"/>
      <c r="AKL14" s="82"/>
      <c r="AKM14" s="82"/>
      <c r="AKN14" s="203" t="s">
        <v>45</v>
      </c>
      <c r="AKO14" s="203"/>
      <c r="AKP14" s="203"/>
      <c r="AKQ14" s="203"/>
      <c r="AKR14" s="102"/>
      <c r="AKS14" s="102"/>
      <c r="AKT14" s="205" t="s">
        <v>46</v>
      </c>
      <c r="AKU14" s="205"/>
      <c r="AKV14" s="205"/>
      <c r="AKW14" s="205"/>
      <c r="AKX14" s="82"/>
      <c r="AKY14" s="82"/>
      <c r="AKZ14" s="203" t="s">
        <v>47</v>
      </c>
      <c r="ALA14" s="203"/>
      <c r="ALB14" s="203"/>
      <c r="ALC14" s="203"/>
      <c r="ALD14" s="102"/>
      <c r="ALE14" s="102"/>
      <c r="ALF14" s="205" t="s">
        <v>48</v>
      </c>
      <c r="ALG14" s="205"/>
      <c r="ALH14" s="205"/>
      <c r="ALI14" s="205"/>
      <c r="ALJ14" s="82"/>
      <c r="ALK14" s="82"/>
      <c r="ALL14" s="203" t="s">
        <v>49</v>
      </c>
      <c r="ALM14" s="203"/>
      <c r="ALN14" s="203"/>
      <c r="ALO14" s="203"/>
      <c r="ALP14" s="102"/>
      <c r="ALQ14" s="102"/>
      <c r="ALR14" s="205" t="s">
        <v>50</v>
      </c>
      <c r="ALS14" s="205"/>
      <c r="ALT14" s="205"/>
      <c r="ALU14" s="205"/>
      <c r="ALV14" s="82"/>
      <c r="ALW14" s="82"/>
      <c r="ALX14" s="203" t="s">
        <v>51</v>
      </c>
      <c r="ALY14" s="203"/>
      <c r="ALZ14" s="203"/>
      <c r="AMA14" s="203"/>
      <c r="AMB14" s="102"/>
      <c r="AMC14" s="102"/>
      <c r="AMD14" s="205" t="s">
        <v>52</v>
      </c>
      <c r="AME14" s="205"/>
      <c r="AMF14" s="205"/>
      <c r="AMG14" s="205"/>
      <c r="AMH14" s="82"/>
      <c r="AMI14" s="82"/>
      <c r="AMJ14" s="82"/>
      <c r="AMK14" s="83"/>
      <c r="AML14" s="81"/>
      <c r="AMM14" s="82"/>
      <c r="AMN14" s="82"/>
      <c r="AMO14" s="82"/>
      <c r="AMP14" s="205" t="s">
        <v>44</v>
      </c>
      <c r="AMQ14" s="205"/>
      <c r="AMR14" s="205"/>
      <c r="AMS14" s="205"/>
      <c r="AMT14" s="82"/>
      <c r="AMU14" s="82"/>
      <c r="AMV14" s="203" t="s">
        <v>45</v>
      </c>
      <c r="AMW14" s="203"/>
      <c r="AMX14" s="203"/>
      <c r="AMY14" s="203"/>
      <c r="AMZ14" s="102"/>
      <c r="ANA14" s="102"/>
      <c r="ANB14" s="205" t="s">
        <v>46</v>
      </c>
      <c r="ANC14" s="205"/>
      <c r="AND14" s="205"/>
      <c r="ANE14" s="205"/>
      <c r="ANF14" s="82"/>
      <c r="ANG14" s="82"/>
      <c r="ANH14" s="203" t="s">
        <v>47</v>
      </c>
      <c r="ANI14" s="203"/>
      <c r="ANJ14" s="203"/>
      <c r="ANK14" s="203"/>
      <c r="ANL14" s="102"/>
      <c r="ANM14" s="102"/>
      <c r="ANN14" s="205" t="s">
        <v>48</v>
      </c>
      <c r="ANO14" s="205"/>
      <c r="ANP14" s="205"/>
      <c r="ANQ14" s="205"/>
      <c r="ANR14" s="82"/>
      <c r="ANS14" s="82"/>
      <c r="ANT14" s="203" t="s">
        <v>49</v>
      </c>
      <c r="ANU14" s="203"/>
      <c r="ANV14" s="203"/>
      <c r="ANW14" s="203"/>
      <c r="ANX14" s="102"/>
      <c r="ANY14" s="102"/>
      <c r="ANZ14" s="205" t="s">
        <v>50</v>
      </c>
      <c r="AOA14" s="205"/>
      <c r="AOB14" s="205"/>
      <c r="AOC14" s="205"/>
      <c r="AOD14" s="82"/>
      <c r="AOE14" s="82"/>
      <c r="AOF14" s="203" t="s">
        <v>51</v>
      </c>
      <c r="AOG14" s="203"/>
      <c r="AOH14" s="203"/>
      <c r="AOI14" s="203"/>
      <c r="AOJ14" s="102"/>
      <c r="AOK14" s="102"/>
      <c r="AOL14" s="205" t="s">
        <v>52</v>
      </c>
      <c r="AOM14" s="205"/>
      <c r="AON14" s="205"/>
      <c r="AOO14" s="205"/>
      <c r="AOP14" s="82"/>
      <c r="AOQ14" s="82"/>
      <c r="AOR14" s="82"/>
      <c r="AOS14" s="83"/>
      <c r="AOT14" s="81"/>
      <c r="AOU14" s="82"/>
      <c r="AOV14" s="82"/>
      <c r="AOW14" s="82"/>
      <c r="AOX14" s="205" t="s">
        <v>44</v>
      </c>
      <c r="AOY14" s="205"/>
      <c r="AOZ14" s="205"/>
      <c r="APA14" s="205"/>
      <c r="APB14" s="82"/>
      <c r="APC14" s="82"/>
      <c r="APD14" s="203" t="s">
        <v>45</v>
      </c>
      <c r="APE14" s="203"/>
      <c r="APF14" s="203"/>
      <c r="APG14" s="203"/>
      <c r="APH14" s="102"/>
      <c r="API14" s="102"/>
      <c r="APJ14" s="205" t="s">
        <v>46</v>
      </c>
      <c r="APK14" s="205"/>
      <c r="APL14" s="205"/>
      <c r="APM14" s="205"/>
      <c r="APN14" s="82"/>
      <c r="APO14" s="82"/>
      <c r="APP14" s="203" t="s">
        <v>47</v>
      </c>
      <c r="APQ14" s="203"/>
      <c r="APR14" s="203"/>
      <c r="APS14" s="203"/>
      <c r="APT14" s="102"/>
      <c r="APU14" s="102"/>
      <c r="APV14" s="205" t="s">
        <v>48</v>
      </c>
      <c r="APW14" s="205"/>
      <c r="APX14" s="205"/>
      <c r="APY14" s="205"/>
      <c r="APZ14" s="82"/>
      <c r="AQA14" s="82"/>
      <c r="AQB14" s="203" t="s">
        <v>49</v>
      </c>
      <c r="AQC14" s="203"/>
      <c r="AQD14" s="203"/>
      <c r="AQE14" s="203"/>
      <c r="AQF14" s="102"/>
      <c r="AQG14" s="102"/>
      <c r="AQH14" s="205" t="s">
        <v>50</v>
      </c>
      <c r="AQI14" s="205"/>
      <c r="AQJ14" s="205"/>
      <c r="AQK14" s="205"/>
      <c r="AQL14" s="82"/>
      <c r="AQM14" s="82"/>
      <c r="AQN14" s="203" t="s">
        <v>51</v>
      </c>
      <c r="AQO14" s="203"/>
      <c r="AQP14" s="203"/>
      <c r="AQQ14" s="203"/>
      <c r="AQR14" s="102"/>
      <c r="AQS14" s="102"/>
      <c r="AQT14" s="205" t="s">
        <v>52</v>
      </c>
      <c r="AQU14" s="205"/>
      <c r="AQV14" s="205"/>
      <c r="AQW14" s="205"/>
      <c r="AQX14" s="82"/>
      <c r="AQY14" s="82"/>
      <c r="AQZ14" s="82"/>
      <c r="ARA14" s="83"/>
      <c r="ARB14" s="81"/>
      <c r="ARC14" s="82"/>
      <c r="ARD14" s="82"/>
      <c r="ARE14" s="82"/>
      <c r="ARF14" s="205" t="s">
        <v>44</v>
      </c>
      <c r="ARG14" s="205"/>
      <c r="ARH14" s="205"/>
      <c r="ARI14" s="205"/>
      <c r="ARJ14" s="82"/>
      <c r="ARK14" s="82"/>
      <c r="ARL14" s="203" t="s">
        <v>45</v>
      </c>
      <c r="ARM14" s="203"/>
      <c r="ARN14" s="203"/>
      <c r="ARO14" s="203"/>
      <c r="ARP14" s="102"/>
      <c r="ARQ14" s="102"/>
      <c r="ARR14" s="205" t="s">
        <v>46</v>
      </c>
      <c r="ARS14" s="205"/>
      <c r="ART14" s="205"/>
      <c r="ARU14" s="205"/>
      <c r="ARV14" s="82"/>
      <c r="ARW14" s="82"/>
      <c r="ARX14" s="203" t="s">
        <v>47</v>
      </c>
      <c r="ARY14" s="203"/>
      <c r="ARZ14" s="203"/>
      <c r="ASA14" s="203"/>
      <c r="ASB14" s="102"/>
      <c r="ASC14" s="102"/>
      <c r="ASD14" s="205" t="s">
        <v>48</v>
      </c>
      <c r="ASE14" s="205"/>
      <c r="ASF14" s="205"/>
      <c r="ASG14" s="205"/>
      <c r="ASH14" s="82"/>
      <c r="ASI14" s="82"/>
      <c r="ASJ14" s="203" t="s">
        <v>49</v>
      </c>
      <c r="ASK14" s="203"/>
      <c r="ASL14" s="203"/>
      <c r="ASM14" s="203"/>
      <c r="ASN14" s="102"/>
      <c r="ASO14" s="102"/>
      <c r="ASP14" s="205" t="s">
        <v>50</v>
      </c>
      <c r="ASQ14" s="205"/>
      <c r="ASR14" s="205"/>
      <c r="ASS14" s="205"/>
      <c r="AST14" s="82"/>
      <c r="ASU14" s="82"/>
      <c r="ASV14" s="203" t="s">
        <v>51</v>
      </c>
      <c r="ASW14" s="203"/>
      <c r="ASX14" s="203"/>
      <c r="ASY14" s="203"/>
      <c r="ASZ14" s="102"/>
      <c r="ATA14" s="102"/>
      <c r="ATB14" s="205" t="s">
        <v>52</v>
      </c>
      <c r="ATC14" s="205"/>
      <c r="ATD14" s="205"/>
      <c r="ATE14" s="205"/>
      <c r="ATF14" s="82"/>
      <c r="ATG14" s="82"/>
      <c r="ATH14" s="82"/>
      <c r="ATI14" s="83"/>
      <c r="ATJ14" s="81"/>
      <c r="ATK14" s="82"/>
      <c r="ATL14" s="82"/>
      <c r="ATM14" s="82"/>
      <c r="ATN14" s="205" t="s">
        <v>44</v>
      </c>
      <c r="ATO14" s="205"/>
      <c r="ATP14" s="205"/>
      <c r="ATQ14" s="205"/>
      <c r="ATR14" s="82"/>
      <c r="ATS14" s="82"/>
      <c r="ATT14" s="203" t="s">
        <v>45</v>
      </c>
      <c r="ATU14" s="203"/>
      <c r="ATV14" s="203"/>
      <c r="ATW14" s="203"/>
      <c r="ATX14" s="102"/>
      <c r="ATY14" s="102"/>
      <c r="ATZ14" s="205" t="s">
        <v>46</v>
      </c>
      <c r="AUA14" s="205"/>
      <c r="AUB14" s="205"/>
      <c r="AUC14" s="205"/>
      <c r="AUD14" s="82"/>
      <c r="AUE14" s="82"/>
      <c r="AUF14" s="203" t="s">
        <v>47</v>
      </c>
      <c r="AUG14" s="203"/>
      <c r="AUH14" s="203"/>
      <c r="AUI14" s="203"/>
      <c r="AUJ14" s="102"/>
      <c r="AUK14" s="102"/>
      <c r="AUL14" s="205" t="s">
        <v>48</v>
      </c>
      <c r="AUM14" s="205"/>
      <c r="AUN14" s="205"/>
      <c r="AUO14" s="205"/>
      <c r="AUP14" s="82"/>
      <c r="AUQ14" s="82"/>
      <c r="AUR14" s="203" t="s">
        <v>49</v>
      </c>
      <c r="AUS14" s="203"/>
      <c r="AUT14" s="203"/>
      <c r="AUU14" s="203"/>
      <c r="AUV14" s="102"/>
      <c r="AUW14" s="102"/>
      <c r="AUX14" s="205" t="s">
        <v>50</v>
      </c>
      <c r="AUY14" s="205"/>
      <c r="AUZ14" s="205"/>
      <c r="AVA14" s="205"/>
      <c r="AVB14" s="82"/>
      <c r="AVC14" s="82"/>
      <c r="AVD14" s="203" t="s">
        <v>51</v>
      </c>
      <c r="AVE14" s="203"/>
      <c r="AVF14" s="203"/>
      <c r="AVG14" s="203"/>
      <c r="AVH14" s="102"/>
      <c r="AVI14" s="102"/>
      <c r="AVJ14" s="205" t="s">
        <v>52</v>
      </c>
      <c r="AVK14" s="205"/>
      <c r="AVL14" s="205"/>
      <c r="AVM14" s="205"/>
      <c r="AVN14" s="82"/>
      <c r="AVO14" s="82"/>
      <c r="AVP14" s="82"/>
      <c r="AVQ14" s="83"/>
      <c r="AVR14" s="81"/>
      <c r="AVS14" s="82"/>
      <c r="AVT14" s="82"/>
      <c r="AVU14" s="82"/>
      <c r="AVV14" s="205" t="s">
        <v>44</v>
      </c>
      <c r="AVW14" s="205"/>
      <c r="AVX14" s="205"/>
      <c r="AVY14" s="205"/>
      <c r="AVZ14" s="82"/>
      <c r="AWA14" s="82"/>
      <c r="AWB14" s="203" t="s">
        <v>45</v>
      </c>
      <c r="AWC14" s="203"/>
      <c r="AWD14" s="203"/>
      <c r="AWE14" s="203"/>
      <c r="AWF14" s="102"/>
      <c r="AWG14" s="102"/>
      <c r="AWH14" s="205" t="s">
        <v>46</v>
      </c>
      <c r="AWI14" s="205"/>
      <c r="AWJ14" s="205"/>
      <c r="AWK14" s="205"/>
      <c r="AWL14" s="82"/>
      <c r="AWM14" s="82"/>
      <c r="AWN14" s="203" t="s">
        <v>47</v>
      </c>
      <c r="AWO14" s="203"/>
      <c r="AWP14" s="203"/>
      <c r="AWQ14" s="203"/>
      <c r="AWR14" s="102"/>
      <c r="AWS14" s="102"/>
      <c r="AWT14" s="205" t="s">
        <v>48</v>
      </c>
      <c r="AWU14" s="205"/>
      <c r="AWV14" s="205"/>
      <c r="AWW14" s="205"/>
      <c r="AWX14" s="82"/>
      <c r="AWY14" s="82"/>
      <c r="AWZ14" s="203" t="s">
        <v>49</v>
      </c>
      <c r="AXA14" s="203"/>
      <c r="AXB14" s="203"/>
      <c r="AXC14" s="203"/>
      <c r="AXD14" s="102"/>
      <c r="AXE14" s="102"/>
      <c r="AXF14" s="205" t="s">
        <v>50</v>
      </c>
      <c r="AXG14" s="205"/>
      <c r="AXH14" s="205"/>
      <c r="AXI14" s="205"/>
      <c r="AXJ14" s="82"/>
      <c r="AXK14" s="82"/>
      <c r="AXL14" s="203" t="s">
        <v>51</v>
      </c>
      <c r="AXM14" s="203"/>
      <c r="AXN14" s="203"/>
      <c r="AXO14" s="203"/>
      <c r="AXP14" s="102"/>
      <c r="AXQ14" s="102"/>
      <c r="AXR14" s="205" t="s">
        <v>52</v>
      </c>
      <c r="AXS14" s="205"/>
      <c r="AXT14" s="205"/>
      <c r="AXU14" s="205"/>
      <c r="AXV14" s="82"/>
      <c r="AXW14" s="82"/>
      <c r="AXX14" s="82"/>
      <c r="AXY14" s="83"/>
      <c r="AXZ14" s="81"/>
      <c r="AYA14" s="82"/>
      <c r="AYB14" s="82"/>
      <c r="AYC14" s="82"/>
      <c r="AYD14" s="205" t="s">
        <v>44</v>
      </c>
      <c r="AYE14" s="205"/>
      <c r="AYF14" s="205"/>
      <c r="AYG14" s="205"/>
      <c r="AYH14" s="82"/>
      <c r="AYI14" s="82"/>
      <c r="AYJ14" s="203" t="s">
        <v>45</v>
      </c>
      <c r="AYK14" s="203"/>
      <c r="AYL14" s="203"/>
      <c r="AYM14" s="203"/>
      <c r="AYN14" s="102"/>
      <c r="AYO14" s="102"/>
      <c r="AYP14" s="205" t="s">
        <v>46</v>
      </c>
      <c r="AYQ14" s="205"/>
      <c r="AYR14" s="205"/>
      <c r="AYS14" s="205"/>
      <c r="AYT14" s="82"/>
      <c r="AYU14" s="82"/>
      <c r="AYV14" s="203" t="s">
        <v>47</v>
      </c>
      <c r="AYW14" s="203"/>
      <c r="AYX14" s="203"/>
      <c r="AYY14" s="203"/>
      <c r="AYZ14" s="102"/>
      <c r="AZA14" s="102"/>
      <c r="AZB14" s="205" t="s">
        <v>48</v>
      </c>
      <c r="AZC14" s="205"/>
      <c r="AZD14" s="205"/>
      <c r="AZE14" s="205"/>
      <c r="AZF14" s="82"/>
      <c r="AZG14" s="82"/>
      <c r="AZH14" s="203" t="s">
        <v>49</v>
      </c>
      <c r="AZI14" s="203"/>
      <c r="AZJ14" s="203"/>
      <c r="AZK14" s="203"/>
      <c r="AZL14" s="102"/>
      <c r="AZM14" s="102"/>
      <c r="AZN14" s="205" t="s">
        <v>50</v>
      </c>
      <c r="AZO14" s="205"/>
      <c r="AZP14" s="205"/>
      <c r="AZQ14" s="205"/>
      <c r="AZR14" s="82"/>
      <c r="AZS14" s="82"/>
      <c r="AZT14" s="203" t="s">
        <v>51</v>
      </c>
      <c r="AZU14" s="203"/>
      <c r="AZV14" s="203"/>
      <c r="AZW14" s="203"/>
      <c r="AZX14" s="102"/>
      <c r="AZY14" s="102"/>
      <c r="AZZ14" s="205" t="s">
        <v>52</v>
      </c>
      <c r="BAA14" s="205"/>
      <c r="BAB14" s="205"/>
      <c r="BAC14" s="205"/>
      <c r="BAD14" s="82"/>
      <c r="BAE14" s="82"/>
      <c r="BAF14" s="82"/>
      <c r="BAG14" s="83"/>
      <c r="BAH14" s="81"/>
      <c r="BAI14" s="82"/>
      <c r="BAJ14" s="82"/>
      <c r="BAK14" s="82"/>
      <c r="BAL14" s="205" t="s">
        <v>44</v>
      </c>
      <c r="BAM14" s="205"/>
      <c r="BAN14" s="205"/>
      <c r="BAO14" s="205"/>
      <c r="BAP14" s="82"/>
      <c r="BAQ14" s="82"/>
      <c r="BAR14" s="203" t="s">
        <v>45</v>
      </c>
      <c r="BAS14" s="203"/>
      <c r="BAT14" s="203"/>
      <c r="BAU14" s="203"/>
      <c r="BAV14" s="102"/>
      <c r="BAW14" s="102"/>
      <c r="BAX14" s="205" t="s">
        <v>46</v>
      </c>
      <c r="BAY14" s="205"/>
      <c r="BAZ14" s="205"/>
      <c r="BBA14" s="205"/>
      <c r="BBB14" s="82"/>
      <c r="BBC14" s="82"/>
      <c r="BBD14" s="203" t="s">
        <v>47</v>
      </c>
      <c r="BBE14" s="203"/>
      <c r="BBF14" s="203"/>
      <c r="BBG14" s="203"/>
      <c r="BBH14" s="102"/>
      <c r="BBI14" s="102"/>
      <c r="BBJ14" s="205" t="s">
        <v>48</v>
      </c>
      <c r="BBK14" s="205"/>
      <c r="BBL14" s="205"/>
      <c r="BBM14" s="205"/>
      <c r="BBN14" s="82"/>
      <c r="BBO14" s="82"/>
      <c r="BBP14" s="203" t="s">
        <v>49</v>
      </c>
      <c r="BBQ14" s="203"/>
      <c r="BBR14" s="203"/>
      <c r="BBS14" s="203"/>
      <c r="BBT14" s="102"/>
      <c r="BBU14" s="102"/>
      <c r="BBV14" s="205" t="s">
        <v>50</v>
      </c>
      <c r="BBW14" s="205"/>
      <c r="BBX14" s="205"/>
      <c r="BBY14" s="205"/>
      <c r="BBZ14" s="82"/>
      <c r="BCA14" s="82"/>
      <c r="BCB14" s="203" t="s">
        <v>51</v>
      </c>
      <c r="BCC14" s="203"/>
      <c r="BCD14" s="203"/>
      <c r="BCE14" s="203"/>
      <c r="BCF14" s="102"/>
      <c r="BCG14" s="102"/>
      <c r="BCH14" s="205" t="s">
        <v>52</v>
      </c>
      <c r="BCI14" s="205"/>
      <c r="BCJ14" s="205"/>
      <c r="BCK14" s="205"/>
      <c r="BCL14" s="82"/>
      <c r="BCM14" s="82"/>
      <c r="BCN14" s="82"/>
      <c r="BCO14" s="83"/>
      <c r="BCP14" s="81"/>
      <c r="BCQ14" s="82"/>
      <c r="BCR14" s="82"/>
      <c r="BCS14" s="82"/>
      <c r="BCT14" s="205" t="s">
        <v>44</v>
      </c>
      <c r="BCU14" s="205"/>
      <c r="BCV14" s="205"/>
      <c r="BCW14" s="205"/>
      <c r="BCX14" s="82"/>
      <c r="BCY14" s="82"/>
      <c r="BCZ14" s="203" t="s">
        <v>45</v>
      </c>
      <c r="BDA14" s="203"/>
      <c r="BDB14" s="203"/>
      <c r="BDC14" s="203"/>
      <c r="BDD14" s="102"/>
      <c r="BDE14" s="102"/>
      <c r="BDF14" s="205" t="s">
        <v>46</v>
      </c>
      <c r="BDG14" s="205"/>
      <c r="BDH14" s="205"/>
      <c r="BDI14" s="205"/>
      <c r="BDJ14" s="82"/>
      <c r="BDK14" s="82"/>
      <c r="BDL14" s="203" t="s">
        <v>47</v>
      </c>
      <c r="BDM14" s="203"/>
      <c r="BDN14" s="203"/>
      <c r="BDO14" s="203"/>
      <c r="BDP14" s="102"/>
      <c r="BDQ14" s="102"/>
      <c r="BDR14" s="205" t="s">
        <v>48</v>
      </c>
      <c r="BDS14" s="205"/>
      <c r="BDT14" s="205"/>
      <c r="BDU14" s="205"/>
      <c r="BDV14" s="82"/>
      <c r="BDW14" s="82"/>
      <c r="BDX14" s="203" t="s">
        <v>49</v>
      </c>
      <c r="BDY14" s="203"/>
      <c r="BDZ14" s="203"/>
      <c r="BEA14" s="203"/>
      <c r="BEB14" s="102"/>
      <c r="BEC14" s="102"/>
      <c r="BED14" s="205" t="s">
        <v>50</v>
      </c>
      <c r="BEE14" s="205"/>
      <c r="BEF14" s="205"/>
      <c r="BEG14" s="205"/>
      <c r="BEH14" s="82"/>
      <c r="BEI14" s="82"/>
      <c r="BEJ14" s="203" t="s">
        <v>51</v>
      </c>
      <c r="BEK14" s="203"/>
      <c r="BEL14" s="203"/>
      <c r="BEM14" s="203"/>
      <c r="BEN14" s="102"/>
      <c r="BEO14" s="102"/>
      <c r="BEP14" s="205" t="s">
        <v>52</v>
      </c>
      <c r="BEQ14" s="205"/>
      <c r="BER14" s="205"/>
      <c r="BES14" s="205"/>
      <c r="BET14" s="82"/>
      <c r="BEU14" s="82"/>
      <c r="BEV14" s="82"/>
      <c r="BEW14" s="83"/>
      <c r="BEX14" s="81"/>
      <c r="BEY14" s="82"/>
      <c r="BEZ14" s="82"/>
      <c r="BFA14" s="82"/>
      <c r="BFB14" s="205" t="s">
        <v>44</v>
      </c>
      <c r="BFC14" s="205"/>
      <c r="BFD14" s="205"/>
      <c r="BFE14" s="205"/>
      <c r="BFF14" s="82"/>
      <c r="BFG14" s="82"/>
      <c r="BFH14" s="203" t="s">
        <v>45</v>
      </c>
      <c r="BFI14" s="203"/>
      <c r="BFJ14" s="203"/>
      <c r="BFK14" s="203"/>
      <c r="BFL14" s="102"/>
      <c r="BFM14" s="102"/>
      <c r="BFN14" s="205" t="s">
        <v>46</v>
      </c>
      <c r="BFO14" s="205"/>
      <c r="BFP14" s="205"/>
      <c r="BFQ14" s="205"/>
      <c r="BFR14" s="82"/>
      <c r="BFS14" s="82"/>
      <c r="BFT14" s="203" t="s">
        <v>47</v>
      </c>
      <c r="BFU14" s="203"/>
      <c r="BFV14" s="203"/>
      <c r="BFW14" s="203"/>
      <c r="BFX14" s="102"/>
      <c r="BFY14" s="102"/>
      <c r="BFZ14" s="205" t="s">
        <v>48</v>
      </c>
      <c r="BGA14" s="205"/>
      <c r="BGB14" s="205"/>
      <c r="BGC14" s="205"/>
      <c r="BGD14" s="82"/>
      <c r="BGE14" s="82"/>
      <c r="BGF14" s="203" t="s">
        <v>49</v>
      </c>
      <c r="BGG14" s="203"/>
      <c r="BGH14" s="203"/>
      <c r="BGI14" s="203"/>
      <c r="BGJ14" s="102"/>
      <c r="BGK14" s="102"/>
      <c r="BGL14" s="205" t="s">
        <v>50</v>
      </c>
      <c r="BGM14" s="205"/>
      <c r="BGN14" s="205"/>
      <c r="BGO14" s="205"/>
      <c r="BGP14" s="82"/>
      <c r="BGQ14" s="82"/>
      <c r="BGR14" s="203" t="s">
        <v>51</v>
      </c>
      <c r="BGS14" s="203"/>
      <c r="BGT14" s="203"/>
      <c r="BGU14" s="203"/>
      <c r="BGV14" s="102"/>
      <c r="BGW14" s="102"/>
      <c r="BGX14" s="205" t="s">
        <v>52</v>
      </c>
      <c r="BGY14" s="205"/>
      <c r="BGZ14" s="205"/>
      <c r="BHA14" s="205"/>
      <c r="BHB14" s="82"/>
      <c r="BHC14" s="82"/>
      <c r="BHD14" s="82"/>
      <c r="BHE14" s="83"/>
      <c r="BHF14" s="73"/>
    </row>
    <row r="15" spans="1:1566" ht="20.100000000000001" customHeight="1" x14ac:dyDescent="0.25">
      <c r="A15" s="78" t="s">
        <v>53</v>
      </c>
      <c r="B15" s="51" t="str">
        <f>IF(LEN(C15)=0,"",C15)</f>
        <v xml:space="preserve">Absences - imprévus </v>
      </c>
      <c r="C15" s="215" t="s">
        <v>54</v>
      </c>
      <c r="D15" s="122" t="str">
        <f>setValueToTime(E15)</f>
        <v>2h 55 min</v>
      </c>
      <c r="E15" s="26">
        <v>35</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566" ht="20.100000000000001" customHeight="1" x14ac:dyDescent="0.25">
      <c r="A16" s="78" t="s">
        <v>55</v>
      </c>
      <c r="B16" s="51" t="str">
        <f>IF(LEN(C17)=0,"",C17)</f>
        <v>Analyse - Planification initiale</v>
      </c>
      <c r="C16" s="212"/>
      <c r="D16" s="120" t="str">
        <f t="shared" ref="D16:D79" si="0">setValueToTime(E16)</f>
        <v>2h 55 min</v>
      </c>
      <c r="E16" s="30">
        <v>35</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73"/>
    </row>
    <row r="17" spans="1:1601" ht="20.100000000000001" customHeight="1" x14ac:dyDescent="0.25">
      <c r="A17" s="78" t="s">
        <v>53</v>
      </c>
      <c r="B17" s="51" t="str">
        <f>IF(LEN(C19)=0,"",C19)</f>
        <v>Autre - Imprévus</v>
      </c>
      <c r="C17" s="210" t="s">
        <v>56</v>
      </c>
      <c r="D17" s="119" t="str">
        <f t="shared" si="0"/>
        <v>2h 55 min</v>
      </c>
      <c r="E17" s="26">
        <v>35</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601" ht="20.100000000000001" customHeight="1" x14ac:dyDescent="0.3">
      <c r="A18" s="78" t="s">
        <v>55</v>
      </c>
      <c r="B18" s="51" t="str">
        <f>IF(LEN(C21)=0,"",C21)</f>
        <v>Doc - Journal de travail</v>
      </c>
      <c r="C18" s="212"/>
      <c r="D18" s="121" t="str">
        <f t="shared" si="0"/>
        <v>16h 45 min</v>
      </c>
      <c r="E18" s="30">
        <v>201</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90"/>
      <c r="DW18" s="187"/>
      <c r="DX18" s="187"/>
      <c r="DY18" s="187"/>
      <c r="DZ18" s="187"/>
      <c r="EA18" s="191"/>
      <c r="EB18" s="187"/>
      <c r="EC18" s="187"/>
      <c r="ED18" s="187"/>
      <c r="EE18" s="187"/>
      <c r="EF18" s="187"/>
      <c r="EG18" s="188"/>
      <c r="EH18" s="187"/>
      <c r="EI18" s="187"/>
      <c r="EJ18" s="187"/>
      <c r="EK18" s="187"/>
      <c r="EL18" s="187"/>
      <c r="EM18" s="189"/>
      <c r="EN18" s="187"/>
      <c r="EO18" s="187"/>
      <c r="EP18" s="187"/>
      <c r="EQ18" s="187"/>
      <c r="ER18" s="187"/>
      <c r="ES18" s="188"/>
      <c r="ET18" s="187"/>
      <c r="EU18" s="187"/>
      <c r="EV18" s="187"/>
      <c r="EW18" s="187"/>
      <c r="EX18" s="187"/>
      <c r="EY18" s="189"/>
      <c r="EZ18" s="187"/>
      <c r="FA18" s="187"/>
      <c r="FB18" s="187"/>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90"/>
      <c r="GE18" s="187"/>
      <c r="GF18" s="187"/>
      <c r="GG18" s="187"/>
      <c r="GH18" s="187"/>
      <c r="GI18" s="191"/>
      <c r="GJ18" s="187"/>
      <c r="GK18" s="187"/>
      <c r="GL18" s="187"/>
      <c r="GM18" s="187"/>
      <c r="GN18" s="187"/>
      <c r="GO18" s="188"/>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90"/>
      <c r="IM18" s="187"/>
      <c r="IN18" s="187"/>
      <c r="IO18" s="187"/>
      <c r="IP18" s="187"/>
      <c r="IQ18" s="191"/>
      <c r="IR18" s="187"/>
      <c r="IS18" s="187"/>
      <c r="IT18" s="187"/>
      <c r="IU18" s="187"/>
      <c r="IV18" s="187"/>
      <c r="IW18" s="188"/>
      <c r="IX18" s="187"/>
      <c r="IY18" s="187"/>
      <c r="IZ18" s="187"/>
      <c r="JA18" s="187"/>
      <c r="JB18" s="187"/>
      <c r="JC18" s="189"/>
      <c r="JD18" s="187"/>
      <c r="JE18" s="187"/>
      <c r="JF18" s="187"/>
      <c r="JG18" s="187"/>
      <c r="JH18" s="187"/>
      <c r="JI18" s="188"/>
      <c r="JJ18" s="187"/>
      <c r="JK18" s="187"/>
      <c r="JL18" s="187"/>
      <c r="JM18" s="187"/>
      <c r="JN18" s="187"/>
      <c r="JO18" s="189"/>
      <c r="JP18" s="187"/>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87"/>
      <c r="NU18" s="187"/>
      <c r="NV18" s="187"/>
      <c r="NW18" s="187"/>
      <c r="NX18" s="187"/>
      <c r="NY18" s="188"/>
      <c r="NZ18" s="187"/>
      <c r="OA18" s="187"/>
      <c r="OB18" s="187"/>
      <c r="OC18" s="187"/>
      <c r="OD18" s="187"/>
      <c r="OE18" s="189"/>
      <c r="OF18" s="187"/>
      <c r="OG18" s="187"/>
      <c r="OH18" s="187"/>
      <c r="OI18" s="187"/>
      <c r="OJ18" s="187"/>
      <c r="OK18" s="188"/>
      <c r="OL18" s="187"/>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90"/>
      <c r="PK18" s="187"/>
      <c r="PL18" s="187"/>
      <c r="PM18" s="187"/>
      <c r="PN18" s="187"/>
      <c r="PO18" s="191"/>
      <c r="PP18" s="187"/>
      <c r="PQ18" s="187"/>
      <c r="PR18" s="187"/>
      <c r="PS18" s="187"/>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73"/>
    </row>
    <row r="19" spans="1:1601" ht="20.100000000000001" customHeight="1" x14ac:dyDescent="0.25">
      <c r="A19" s="78" t="s">
        <v>53</v>
      </c>
      <c r="B19" s="51" t="str">
        <f>IF(LEN(C23)=0,"",C23)</f>
        <v>Doc - Rapport</v>
      </c>
      <c r="C19" s="210" t="s">
        <v>79</v>
      </c>
      <c r="D19" s="119" t="str">
        <f t="shared" si="0"/>
        <v>2h 55 min</v>
      </c>
      <c r="E19" s="34">
        <v>35</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601" ht="20.100000000000001" customHeight="1" x14ac:dyDescent="0.25">
      <c r="A20" s="78" t="s">
        <v>55</v>
      </c>
      <c r="B20" s="51" t="str">
        <f>IF(LEN(C25)=0,"",C25)</f>
        <v>Informer - Recherche des thèmes et compétences demandées</v>
      </c>
      <c r="C20" s="211"/>
      <c r="D20" s="120" t="str">
        <f t="shared" si="0"/>
        <v>2h 55 min</v>
      </c>
      <c r="E20" s="22">
        <v>35</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73"/>
    </row>
    <row r="21" spans="1:1601" ht="20.100000000000001" customHeight="1" x14ac:dyDescent="0.25">
      <c r="A21" s="78" t="s">
        <v>53</v>
      </c>
      <c r="B21" s="51" t="str">
        <f>IF(LEN(C27)=0,"",C27)</f>
        <v>Informer - Recherches internet, documentation, forums</v>
      </c>
      <c r="C21" s="210" t="s">
        <v>57</v>
      </c>
      <c r="D21" s="119" t="str">
        <f t="shared" si="0"/>
        <v>2h 55 min</v>
      </c>
      <c r="E21" s="26">
        <v>35</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601" ht="20.100000000000001" customHeight="1" x14ac:dyDescent="0.25">
      <c r="A22" s="78" t="s">
        <v>55</v>
      </c>
      <c r="B22" s="51" t="str">
        <f>IF(LEN(C29)=0,"",C29)</f>
        <v>Meeting - Chef de Projet</v>
      </c>
      <c r="C22" s="212"/>
      <c r="D22" s="120" t="str">
        <f t="shared" si="0"/>
        <v>3h 40 min</v>
      </c>
      <c r="E22" s="30">
        <v>44</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79"/>
      <c r="HE22" s="179"/>
      <c r="HF22" s="187"/>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87"/>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87"/>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8"/>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87"/>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8"/>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8"/>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73"/>
    </row>
    <row r="23" spans="1:1601" ht="20.100000000000001" customHeight="1" x14ac:dyDescent="0.25">
      <c r="A23" s="78" t="s">
        <v>53</v>
      </c>
      <c r="B23" s="51" t="str">
        <f>IF(LEN(C31)=0,"",C31)</f>
        <v>Meeting - Expert</v>
      </c>
      <c r="C23" s="210" t="s">
        <v>58</v>
      </c>
      <c r="D23" s="119" t="str">
        <f t="shared" si="0"/>
        <v>2h 55 min</v>
      </c>
      <c r="E23" s="34">
        <v>35</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601" ht="20.100000000000001" customHeight="1" x14ac:dyDescent="0.25">
      <c r="A24" s="78" t="s">
        <v>55</v>
      </c>
      <c r="B24" s="51" t="str">
        <f>IF(LEN(C33)=0,"",C33)</f>
        <v>Planifier - Mise en place de la méthode de gestion du projet</v>
      </c>
      <c r="C24" s="212"/>
      <c r="D24" s="120" t="str">
        <f t="shared" si="0"/>
        <v>27h 55 min</v>
      </c>
      <c r="E24" s="22">
        <v>335</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85"/>
      <c r="GQ24" s="185"/>
      <c r="GR24" s="185"/>
      <c r="GS24" s="185"/>
      <c r="GT24" s="185"/>
      <c r="GU24" s="193"/>
      <c r="GV24" s="185"/>
      <c r="GW24" s="185"/>
      <c r="GX24" s="185"/>
      <c r="GY24" s="185"/>
      <c r="GZ24" s="185"/>
      <c r="HA24" s="194"/>
      <c r="HB24" s="185"/>
      <c r="HC24" s="185"/>
      <c r="HD24" s="185"/>
      <c r="HE24" s="185"/>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85"/>
      <c r="JU24" s="194"/>
      <c r="JV24" s="185"/>
      <c r="JW24" s="185"/>
      <c r="JX24" s="185"/>
      <c r="JY24" s="185"/>
      <c r="JZ24" s="185"/>
      <c r="KA24" s="193"/>
      <c r="KB24" s="185"/>
      <c r="KC24" s="185"/>
      <c r="KD24" s="185"/>
      <c r="KE24" s="185"/>
      <c r="KF24" s="173"/>
      <c r="KG24" s="175"/>
      <c r="KH24" s="173"/>
      <c r="KI24" s="173"/>
      <c r="KJ24" s="173"/>
      <c r="KK24" s="173"/>
      <c r="KL24" s="173"/>
      <c r="KM24" s="176"/>
      <c r="KN24" s="173"/>
      <c r="KO24" s="173"/>
      <c r="KP24" s="173"/>
      <c r="KQ24" s="173"/>
      <c r="KR24" s="173"/>
      <c r="KS24" s="177"/>
      <c r="KT24" s="184"/>
      <c r="KU24" s="185"/>
      <c r="KV24" s="185"/>
      <c r="KW24" s="185"/>
      <c r="KX24" s="185"/>
      <c r="KY24" s="186"/>
      <c r="KZ24" s="185"/>
      <c r="LA24" s="185"/>
      <c r="LB24" s="185"/>
      <c r="LC24" s="185"/>
      <c r="LD24" s="185"/>
      <c r="LE24" s="194"/>
      <c r="LF24" s="185"/>
      <c r="LG24" s="185"/>
      <c r="LH24" s="185"/>
      <c r="LI24" s="185"/>
      <c r="LJ24" s="185"/>
      <c r="LK24" s="193"/>
      <c r="LL24" s="185"/>
      <c r="LM24" s="185"/>
      <c r="LN24" s="185"/>
      <c r="LO24" s="185"/>
      <c r="LP24" s="185"/>
      <c r="LQ24" s="194"/>
      <c r="LR24" s="185"/>
      <c r="LS24" s="185"/>
      <c r="LT24" s="185"/>
      <c r="LU24" s="173"/>
      <c r="LV24" s="173"/>
      <c r="LW24" s="176"/>
      <c r="LX24" s="173"/>
      <c r="LY24" s="173"/>
      <c r="LZ24" s="173"/>
      <c r="MA24" s="173"/>
      <c r="MB24" s="185"/>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85"/>
      <c r="PU24" s="194"/>
      <c r="PV24" s="185"/>
      <c r="PW24" s="185"/>
      <c r="PX24" s="185"/>
      <c r="PY24" s="185"/>
      <c r="PZ24" s="185"/>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85"/>
      <c r="SW24" s="185"/>
      <c r="SX24" s="185"/>
      <c r="SY24" s="185"/>
      <c r="SZ24" s="185"/>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85"/>
      <c r="UD24" s="185"/>
      <c r="UE24" s="186"/>
      <c r="UF24" s="185"/>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85"/>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85"/>
      <c r="AIQ24" s="185"/>
      <c r="AIR24" s="185"/>
      <c r="AIS24" s="194"/>
      <c r="AIT24" s="185"/>
      <c r="AIU24" s="185"/>
      <c r="AIV24" s="185"/>
      <c r="AIW24" s="185"/>
      <c r="AIX24" s="185"/>
      <c r="AIY24" s="193"/>
      <c r="AIZ24" s="185"/>
      <c r="AJA24" s="185"/>
      <c r="AJB24" s="173"/>
      <c r="AJC24" s="173"/>
      <c r="AJD24" s="185"/>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94"/>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84"/>
      <c r="ATK24" s="185"/>
      <c r="ATL24" s="185"/>
      <c r="ATM24" s="185"/>
      <c r="ATN24" s="185"/>
      <c r="ATO24" s="186"/>
      <c r="ATP24" s="185"/>
      <c r="ATQ24" s="185"/>
      <c r="ATR24" s="185"/>
      <c r="ATS24" s="185"/>
      <c r="ATT24" s="185"/>
      <c r="ATU24" s="194"/>
      <c r="ATV24" s="185"/>
      <c r="ATW24" s="185"/>
      <c r="ATX24" s="185"/>
      <c r="ATY24" s="185"/>
      <c r="ATZ24" s="185"/>
      <c r="AUA24" s="193"/>
      <c r="AUB24" s="185"/>
      <c r="AUC24" s="185"/>
      <c r="AUD24" s="185"/>
      <c r="AUE24" s="185"/>
      <c r="AUF24" s="185"/>
      <c r="AUG24" s="194"/>
      <c r="AUH24" s="185"/>
      <c r="AUI24" s="185"/>
      <c r="AUJ24" s="185"/>
      <c r="AUK24" s="185"/>
      <c r="AUL24" s="185"/>
      <c r="AUM24" s="193"/>
      <c r="AUN24" s="185"/>
      <c r="AUO24" s="185"/>
      <c r="AUP24" s="185"/>
      <c r="AUQ24" s="185"/>
      <c r="AUR24" s="185"/>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85"/>
      <c r="AWO24" s="194"/>
      <c r="AWP24" s="185"/>
      <c r="AWQ24" s="185"/>
      <c r="AWR24" s="185"/>
      <c r="AWS24" s="185"/>
      <c r="AWT24" s="185"/>
      <c r="AWU24" s="193"/>
      <c r="AWV24" s="185"/>
      <c r="AWW24" s="185"/>
      <c r="AWX24" s="185"/>
      <c r="AWY24" s="185"/>
      <c r="AWZ24" s="185"/>
      <c r="AXA24" s="194"/>
      <c r="AXB24" s="185"/>
      <c r="AXC24" s="185"/>
      <c r="AXD24" s="185"/>
      <c r="AXE24" s="185"/>
      <c r="AXF24" s="185"/>
      <c r="AXG24" s="193"/>
      <c r="AXH24" s="185"/>
      <c r="AXI24" s="185"/>
      <c r="AXJ24" s="185"/>
      <c r="AXK24" s="185"/>
      <c r="AXL24" s="173"/>
      <c r="AXM24" s="175"/>
      <c r="AXN24" s="173"/>
      <c r="AXO24" s="173"/>
      <c r="AXP24" s="173"/>
      <c r="AXQ24" s="173"/>
      <c r="AXR24" s="173"/>
      <c r="AXS24" s="176"/>
      <c r="AXT24" s="173"/>
      <c r="AXU24" s="173"/>
      <c r="AXV24" s="173"/>
      <c r="AXW24" s="173"/>
      <c r="AXX24" s="173"/>
      <c r="AXY24" s="177"/>
      <c r="AXZ24" s="184"/>
      <c r="AYA24" s="185"/>
      <c r="AYB24" s="185"/>
      <c r="AYC24" s="185"/>
      <c r="AYD24" s="185"/>
      <c r="AYE24" s="186"/>
      <c r="AYF24" s="185"/>
      <c r="AYG24" s="185"/>
      <c r="AYH24" s="185"/>
      <c r="AYI24" s="185"/>
      <c r="AYJ24" s="185"/>
      <c r="AYK24" s="194"/>
      <c r="AYL24" s="185"/>
      <c r="AYM24" s="185"/>
      <c r="AYN24" s="185"/>
      <c r="AYO24" s="185"/>
      <c r="AYP24" s="185"/>
      <c r="AYQ24" s="193"/>
      <c r="AYR24" s="185"/>
      <c r="AYS24" s="185"/>
      <c r="AYT24" s="185"/>
      <c r="AYU24" s="185"/>
      <c r="AYV24" s="185"/>
      <c r="AYW24" s="194"/>
      <c r="AYX24" s="185"/>
      <c r="AYY24" s="185"/>
      <c r="AYZ24" s="185"/>
      <c r="AZA24" s="185"/>
      <c r="AZB24" s="185"/>
      <c r="AZC24" s="193"/>
      <c r="AZD24" s="185"/>
      <c r="AZE24" s="185"/>
      <c r="AZF24" s="185"/>
      <c r="AZG24" s="185"/>
      <c r="AZH24" s="185"/>
      <c r="AZI24" s="194"/>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84"/>
      <c r="BAI24" s="185"/>
      <c r="BAJ24" s="185"/>
      <c r="BAK24" s="185"/>
      <c r="BAL24" s="185"/>
      <c r="BAM24" s="186"/>
      <c r="BAN24" s="185"/>
      <c r="BAO24" s="185"/>
      <c r="BAP24" s="185"/>
      <c r="BAQ24" s="185"/>
      <c r="BAR24" s="185"/>
      <c r="BAS24" s="194"/>
      <c r="BAT24" s="185"/>
      <c r="BAU24" s="185"/>
      <c r="BAV24" s="185"/>
      <c r="BAW24" s="185"/>
      <c r="BAX24" s="185"/>
      <c r="BAY24" s="193"/>
      <c r="BAZ24" s="185"/>
      <c r="BBA24" s="185"/>
      <c r="BBB24" s="185"/>
      <c r="BBC24" s="185"/>
      <c r="BBD24" s="185"/>
      <c r="BBE24" s="194"/>
      <c r="BBF24" s="185"/>
      <c r="BBG24" s="185"/>
      <c r="BBH24" s="185"/>
      <c r="BBI24" s="185"/>
      <c r="BBJ24" s="185"/>
      <c r="BBK24" s="193"/>
      <c r="BBL24" s="185"/>
      <c r="BBM24" s="185"/>
      <c r="BBN24" s="185"/>
      <c r="BBO24" s="185"/>
      <c r="BBP24" s="185"/>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84"/>
      <c r="BCQ24" s="185"/>
      <c r="BCR24" s="185"/>
      <c r="BCS24" s="185"/>
      <c r="BCT24" s="185"/>
      <c r="BCU24" s="186"/>
      <c r="BCV24" s="185"/>
      <c r="BCW24" s="185"/>
      <c r="BCX24" s="185"/>
      <c r="BCY24" s="185"/>
      <c r="BCZ24" s="185"/>
      <c r="BDA24" s="194"/>
      <c r="BDB24" s="185"/>
      <c r="BDC24" s="185"/>
      <c r="BDD24" s="185"/>
      <c r="BDE24" s="185"/>
      <c r="BDF24" s="185"/>
      <c r="BDG24" s="193"/>
      <c r="BDH24" s="185"/>
      <c r="BDI24" s="185"/>
      <c r="BDJ24" s="185"/>
      <c r="BDK24" s="185"/>
      <c r="BDL24" s="185"/>
      <c r="BDM24" s="194"/>
      <c r="BDN24" s="185"/>
      <c r="BDO24" s="185"/>
      <c r="BDP24" s="185"/>
      <c r="BDQ24" s="185"/>
      <c r="BDR24" s="185"/>
      <c r="BDS24" s="193"/>
      <c r="BDT24" s="185"/>
      <c r="BDU24" s="185"/>
      <c r="BDV24" s="185"/>
      <c r="BDW24" s="185"/>
      <c r="BDX24" s="185"/>
      <c r="BDY24" s="194"/>
      <c r="BDZ24" s="185"/>
      <c r="BEA24" s="185"/>
      <c r="BEB24" s="185"/>
      <c r="BEC24" s="185"/>
      <c r="BED24" s="185"/>
      <c r="BEE24" s="193"/>
      <c r="BEF24" s="185"/>
      <c r="BEG24" s="185"/>
      <c r="BEH24" s="185"/>
      <c r="BEI24" s="185"/>
      <c r="BEJ24" s="173"/>
      <c r="BEK24" s="175"/>
      <c r="BEL24" s="173"/>
      <c r="BEM24" s="173"/>
      <c r="BEN24" s="173"/>
      <c r="BEO24" s="173"/>
      <c r="BEP24" s="173"/>
      <c r="BEQ24" s="176"/>
      <c r="BER24" s="173"/>
      <c r="BES24" s="173"/>
      <c r="BET24" s="173"/>
      <c r="BEU24" s="173"/>
      <c r="BEV24" s="173"/>
      <c r="BEW24" s="177"/>
      <c r="BEX24" s="184"/>
      <c r="BEY24" s="185"/>
      <c r="BEZ24" s="185"/>
      <c r="BFA24" s="185"/>
      <c r="BFB24" s="185"/>
      <c r="BFC24" s="186"/>
      <c r="BFD24" s="185"/>
      <c r="BFE24" s="185"/>
      <c r="BFF24" s="185"/>
      <c r="BFG24" s="185"/>
      <c r="BFH24" s="185"/>
      <c r="BFI24" s="194"/>
      <c r="BFJ24" s="185"/>
      <c r="BFK24" s="185"/>
      <c r="BFL24" s="185"/>
      <c r="BFM24" s="185"/>
      <c r="BFN24" s="185"/>
      <c r="BFO24" s="193"/>
      <c r="BFP24" s="185"/>
      <c r="BFQ24" s="185"/>
      <c r="BFR24" s="185"/>
      <c r="BFS24" s="185"/>
      <c r="BFT24" s="185"/>
      <c r="BFU24" s="194"/>
      <c r="BFV24" s="185"/>
      <c r="BFW24" s="185"/>
      <c r="BFX24" s="185"/>
      <c r="BFY24" s="185"/>
      <c r="BFZ24" s="185"/>
      <c r="BGA24" s="193"/>
      <c r="BGB24" s="185"/>
      <c r="BGC24" s="185"/>
      <c r="BGD24" s="185"/>
      <c r="BGE24" s="185"/>
      <c r="BGF24" s="173"/>
      <c r="BGG24" s="194"/>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195"/>
      <c r="BHG24" s="196"/>
      <c r="BHH24" s="196"/>
      <c r="BHI24" s="196"/>
      <c r="BHJ24" s="196"/>
      <c r="BHK24" s="196"/>
      <c r="BHL24" s="196"/>
      <c r="BHM24" s="196"/>
      <c r="BHN24" s="196"/>
      <c r="BHO24" s="196"/>
      <c r="BHP24" s="196"/>
      <c r="BHQ24" s="196"/>
      <c r="BHR24" s="196"/>
      <c r="BHS24" s="196"/>
      <c r="BHT24" s="196"/>
      <c r="BHU24" s="196"/>
      <c r="BHV24" s="196"/>
      <c r="BHW24" s="196"/>
      <c r="BHX24" s="196"/>
      <c r="BHY24" s="196"/>
      <c r="BHZ24" s="196"/>
      <c r="BIA24" s="196"/>
      <c r="BIB24" s="196"/>
      <c r="BIC24" s="196"/>
      <c r="BID24" s="196"/>
      <c r="BIE24" s="196"/>
      <c r="BIF24" s="196"/>
      <c r="BIG24" s="196"/>
      <c r="BIH24" s="196"/>
      <c r="BII24" s="196"/>
      <c r="BIJ24" s="196"/>
      <c r="BIK24" s="196"/>
      <c r="BIL24" s="196"/>
      <c r="BIM24" s="196"/>
      <c r="BIN24" s="196"/>
      <c r="BIO24" s="196"/>
    </row>
    <row r="25" spans="1:1601" ht="20.100000000000001" customHeight="1" x14ac:dyDescent="0.25">
      <c r="A25" s="78" t="s">
        <v>53</v>
      </c>
      <c r="B25" s="51" t="str">
        <f>IF(LEN(C35)=0,"",C35)</f>
        <v>Planifier - Mise en place des tâches</v>
      </c>
      <c r="C25" s="210" t="s">
        <v>69</v>
      </c>
      <c r="D25" s="119" t="str">
        <f t="shared" si="0"/>
        <v>2h 55 min</v>
      </c>
      <c r="E25" s="26">
        <v>35</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601" ht="20.100000000000001" customHeight="1" x14ac:dyDescent="0.3">
      <c r="A26" s="78" t="s">
        <v>55</v>
      </c>
      <c r="B26" s="51" t="str">
        <f>IF(LEN(C37)=0,"",C37)</f>
        <v>Réalisation - Interfaces</v>
      </c>
      <c r="C26" s="212"/>
      <c r="D26" s="121" t="str">
        <f t="shared" si="0"/>
        <v>3h 30 min</v>
      </c>
      <c r="E26" s="30">
        <v>42</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87"/>
      <c r="LV26" s="187"/>
      <c r="LW26" s="189"/>
      <c r="LX26" s="187"/>
      <c r="LY26" s="187"/>
      <c r="LZ26" s="187"/>
      <c r="MA26" s="187"/>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73"/>
    </row>
    <row r="27" spans="1:1601" ht="20.100000000000001" customHeight="1" x14ac:dyDescent="0.25">
      <c r="A27" s="78" t="s">
        <v>53</v>
      </c>
      <c r="B27" s="51" t="str">
        <f>IF(LEN(C39)=0,"",C39)</f>
        <v>Réaliser - Déboguages</v>
      </c>
      <c r="C27" s="210" t="s">
        <v>70</v>
      </c>
      <c r="D27" s="119" t="str">
        <f t="shared" si="0"/>
        <v>2h 55 min</v>
      </c>
      <c r="E27" s="34">
        <v>35</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601" ht="20.100000000000001" customHeight="1" x14ac:dyDescent="0.3">
      <c r="A28" s="78" t="s">
        <v>55</v>
      </c>
      <c r="B28" s="51" t="str">
        <f>IF(LEN(C41)=0,"",C41)</f>
        <v>Réaliser - Mise en place de l'environnement de travail</v>
      </c>
      <c r="C28" s="211"/>
      <c r="D28" s="121" t="str">
        <f t="shared" si="0"/>
        <v>3h 10 min</v>
      </c>
      <c r="E28" s="22">
        <v>38</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85"/>
      <c r="JR28" s="185"/>
      <c r="JS28" s="185"/>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73"/>
    </row>
    <row r="29" spans="1:1601" ht="20.100000000000001" customHeight="1" x14ac:dyDescent="0.25">
      <c r="A29" s="78" t="s">
        <v>53</v>
      </c>
      <c r="B29" s="51" t="str">
        <f>IF(LEN(C43)=0,"",C43)</f>
        <v>Réaliser - Programmation</v>
      </c>
      <c r="C29" s="210" t="s">
        <v>71</v>
      </c>
      <c r="D29" s="119" t="str">
        <f t="shared" si="0"/>
        <v>2h 55 min</v>
      </c>
      <c r="E29" s="26">
        <v>35</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601" ht="20.100000000000001" customHeight="1" x14ac:dyDescent="0.3">
      <c r="A30" s="78" t="s">
        <v>55</v>
      </c>
      <c r="B30" s="51" t="str">
        <f>IF(LEN(C45)=0,"",C45)</f>
        <v>tacheplus - creation de la release et du mail aux Experts</v>
      </c>
      <c r="C30" s="211"/>
      <c r="D30" s="121" t="str">
        <f t="shared" si="0"/>
        <v>8h 5 min</v>
      </c>
      <c r="E30" s="30">
        <v>97</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87"/>
      <c r="FD30" s="187"/>
      <c r="FE30" s="188"/>
      <c r="FF30" s="187"/>
      <c r="FG30" s="187"/>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90"/>
      <c r="NC30" s="187"/>
      <c r="ND30" s="187"/>
      <c r="NE30" s="187"/>
      <c r="NF30" s="187"/>
      <c r="NG30" s="191"/>
      <c r="NH30" s="187"/>
      <c r="NI30" s="187"/>
      <c r="NJ30" s="187"/>
      <c r="NK30" s="187"/>
      <c r="NL30" s="187"/>
      <c r="NM30" s="188"/>
      <c r="NN30" s="187"/>
      <c r="NO30" s="187"/>
      <c r="NP30" s="187"/>
      <c r="NQ30" s="187"/>
      <c r="NR30" s="187"/>
      <c r="NS30" s="189"/>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90"/>
      <c r="UA30" s="187"/>
      <c r="UB30" s="187"/>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87"/>
      <c r="AFR30" s="187"/>
      <c r="AFS30" s="191"/>
      <c r="AFT30" s="187"/>
      <c r="AFU30" s="187"/>
      <c r="AFV30" s="187"/>
      <c r="AFW30" s="187"/>
      <c r="AFX30" s="187"/>
      <c r="AFY30" s="188"/>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87"/>
      <c r="AVW30" s="191"/>
      <c r="AVX30" s="187"/>
      <c r="AVY30" s="187"/>
      <c r="AVZ30" s="187"/>
      <c r="AWA30" s="187"/>
      <c r="AWB30" s="187"/>
      <c r="AWC30" s="188"/>
      <c r="AWD30" s="187"/>
      <c r="AWE30" s="187"/>
      <c r="AWF30" s="187"/>
      <c r="AWG30" s="187"/>
      <c r="AWH30" s="187"/>
      <c r="AWI30" s="189"/>
      <c r="AWJ30" s="187"/>
      <c r="AWK30" s="187"/>
      <c r="AWL30" s="187"/>
      <c r="AWM30" s="187"/>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73"/>
    </row>
    <row r="31" spans="1:1601" ht="20.100000000000001" customHeight="1" x14ac:dyDescent="0.25">
      <c r="A31" s="78" t="s">
        <v>53</v>
      </c>
      <c r="B31" s="51" t="str">
        <f>IF(LEN(C47)=0,"",C47)</f>
        <v>tacheplus - test</v>
      </c>
      <c r="C31" s="210" t="s">
        <v>84</v>
      </c>
      <c r="D31" s="119" t="str">
        <f t="shared" si="0"/>
        <v>2h 55 min</v>
      </c>
      <c r="E31" s="34">
        <v>35</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601" ht="20.100000000000001" customHeight="1" x14ac:dyDescent="0.3">
      <c r="A32" s="78" t="s">
        <v>55</v>
      </c>
      <c r="B32" s="51" t="str">
        <f>IF(LEN(C49)=0,"",C49)</f>
        <v>Tester - Test des fonctionnalités</v>
      </c>
      <c r="C32" s="212"/>
      <c r="D32" s="121" t="str">
        <f t="shared" si="0"/>
        <v>4h</v>
      </c>
      <c r="E32" s="22">
        <v>48</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85"/>
      <c r="ANK32" s="185"/>
      <c r="ANL32" s="185"/>
      <c r="ANM32" s="185"/>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73"/>
    </row>
    <row r="33" spans="1:1566" ht="20.100000000000001" customHeight="1" x14ac:dyDescent="0.25">
      <c r="A33" s="78" t="s">
        <v>53</v>
      </c>
      <c r="B33" s="51" t="str">
        <f>IF(LEN(C51)=0,"",C51)</f>
        <v/>
      </c>
      <c r="C33" s="210" t="s">
        <v>72</v>
      </c>
      <c r="D33" s="119" t="str">
        <f t="shared" si="0"/>
        <v>2h 55 min</v>
      </c>
      <c r="E33" s="26">
        <v>35</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566" ht="20.100000000000001" customHeight="1" x14ac:dyDescent="0.3">
      <c r="A34" s="78" t="s">
        <v>55</v>
      </c>
      <c r="B34" s="51" t="str">
        <f>IF(LEN(C53)=0,"",C53)</f>
        <v/>
      </c>
      <c r="C34" s="212"/>
      <c r="D34" s="121" t="str">
        <f t="shared" si="0"/>
        <v>2h 55 min</v>
      </c>
      <c r="E34" s="30">
        <v>35</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73"/>
    </row>
    <row r="35" spans="1:1566" ht="20.100000000000001" customHeight="1" x14ac:dyDescent="0.25">
      <c r="A35" s="78" t="s">
        <v>53</v>
      </c>
      <c r="B35" s="51" t="str">
        <f>IF(LEN(C55)=0,"",C55)</f>
        <v/>
      </c>
      <c r="C35" s="210" t="s">
        <v>73</v>
      </c>
      <c r="D35" s="119" t="str">
        <f t="shared" si="0"/>
        <v>2h 55 min</v>
      </c>
      <c r="E35" s="34">
        <v>35</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566" ht="20.100000000000001" customHeight="1" x14ac:dyDescent="0.25">
      <c r="A36" s="78" t="s">
        <v>55</v>
      </c>
      <c r="B36" s="51" t="str">
        <f>IF(LEN(C57)=0,"",C57)</f>
        <v/>
      </c>
      <c r="C36" s="211"/>
      <c r="D36" s="120" t="str">
        <f t="shared" si="0"/>
        <v>3h 15 min</v>
      </c>
      <c r="E36" s="22">
        <v>39</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85"/>
      <c r="UH36" s="185"/>
      <c r="UI36" s="185"/>
      <c r="UJ36" s="185"/>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73"/>
    </row>
    <row r="37" spans="1:1566" ht="20.100000000000001" customHeight="1" x14ac:dyDescent="0.25">
      <c r="A37" s="78" t="s">
        <v>53</v>
      </c>
      <c r="B37" s="51" t="str">
        <f>IF(LEN(C59)=0,"",C59)</f>
        <v/>
      </c>
      <c r="C37" s="210" t="s">
        <v>74</v>
      </c>
      <c r="D37" s="119" t="str">
        <f t="shared" si="0"/>
        <v>2h 55 min</v>
      </c>
      <c r="E37" s="26">
        <v>35</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566" ht="20.100000000000001" customHeight="1" x14ac:dyDescent="0.3">
      <c r="A38" s="78" t="s">
        <v>55</v>
      </c>
      <c r="B38" s="51" t="str">
        <f>IF(LEN(C61)=0,"",C61)</f>
        <v/>
      </c>
      <c r="C38" s="212"/>
      <c r="D38" s="121" t="str">
        <f t="shared" si="0"/>
        <v>8h 30 min</v>
      </c>
      <c r="E38" s="30">
        <v>102</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9"/>
      <c r="QB38" s="187"/>
      <c r="QC38" s="187"/>
      <c r="QD38" s="187"/>
      <c r="QE38" s="187"/>
      <c r="QF38" s="187"/>
      <c r="QG38" s="188"/>
      <c r="QH38" s="187"/>
      <c r="QI38" s="187"/>
      <c r="QJ38" s="187"/>
      <c r="QK38" s="187"/>
      <c r="QL38" s="187"/>
      <c r="QM38" s="189"/>
      <c r="QN38" s="187"/>
      <c r="QO38" s="187"/>
      <c r="QP38" s="187"/>
      <c r="QQ38" s="187"/>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90"/>
      <c r="RS38" s="187"/>
      <c r="RT38" s="187"/>
      <c r="RU38" s="187"/>
      <c r="RV38" s="187"/>
      <c r="RW38" s="191"/>
      <c r="RX38" s="187"/>
      <c r="RY38" s="187"/>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8"/>
      <c r="UL38" s="187"/>
      <c r="UM38" s="187"/>
      <c r="UN38" s="187"/>
      <c r="UO38" s="187"/>
      <c r="UP38" s="187"/>
      <c r="UQ38" s="189"/>
      <c r="UR38" s="187"/>
      <c r="US38" s="187"/>
      <c r="UT38" s="187"/>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90"/>
      <c r="WI38" s="187"/>
      <c r="WJ38" s="187"/>
      <c r="WK38" s="187"/>
      <c r="WL38" s="187"/>
      <c r="WM38" s="191"/>
      <c r="WN38" s="187"/>
      <c r="WO38" s="187"/>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90"/>
      <c r="YQ38" s="187"/>
      <c r="YR38" s="187"/>
      <c r="YS38" s="187"/>
      <c r="YT38" s="187"/>
      <c r="YU38" s="191"/>
      <c r="YV38" s="187"/>
      <c r="YW38" s="187"/>
      <c r="YX38" s="187"/>
      <c r="YY38" s="187"/>
      <c r="YZ38" s="187"/>
      <c r="ZA38" s="188"/>
      <c r="ZB38" s="187"/>
      <c r="ZC38" s="187"/>
      <c r="ZD38" s="187"/>
      <c r="ZE38" s="187"/>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90"/>
      <c r="AAY38" s="187"/>
      <c r="AAZ38" s="187"/>
      <c r="ABA38" s="187"/>
      <c r="ABB38" s="187"/>
      <c r="ABC38" s="191"/>
      <c r="ABD38" s="187"/>
      <c r="ABE38" s="187"/>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73"/>
    </row>
    <row r="39" spans="1:1566" ht="20.100000000000001" customHeight="1" x14ac:dyDescent="0.25">
      <c r="A39" s="78" t="s">
        <v>53</v>
      </c>
      <c r="B39" s="51" t="str">
        <f>IF(LEN(C63)=0,"",C63)</f>
        <v/>
      </c>
      <c r="C39" s="210" t="s">
        <v>75</v>
      </c>
      <c r="D39" s="119" t="str">
        <f t="shared" si="0"/>
        <v>2h 55 min</v>
      </c>
      <c r="E39" s="34">
        <v>35</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566" ht="20.100000000000001" customHeight="1" x14ac:dyDescent="0.25">
      <c r="A40" s="78" t="s">
        <v>55</v>
      </c>
      <c r="B40" s="51" t="str">
        <f>IF(LEN(C65)=0,"",C65)</f>
        <v/>
      </c>
      <c r="C40" s="211"/>
      <c r="D40" s="120" t="str">
        <f t="shared" si="0"/>
        <v>6h 30 min</v>
      </c>
      <c r="E40" s="22">
        <v>78</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85"/>
      <c r="ACA40" s="193"/>
      <c r="ACB40" s="185"/>
      <c r="ACC40" s="185"/>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85"/>
      <c r="AEI40" s="193"/>
      <c r="AEJ40" s="185"/>
      <c r="AEK40" s="185"/>
      <c r="AEL40" s="185"/>
      <c r="AEM40" s="185"/>
      <c r="AEN40" s="185"/>
      <c r="AEO40" s="194"/>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84"/>
      <c r="AFO40" s="185"/>
      <c r="AFP40" s="185"/>
      <c r="AFQ40" s="173"/>
      <c r="AFR40" s="173"/>
      <c r="AFS40" s="174"/>
      <c r="AFT40" s="173"/>
      <c r="AFU40" s="173"/>
      <c r="AFV40" s="173"/>
      <c r="AFW40" s="173"/>
      <c r="AFX40" s="173"/>
      <c r="AFY40" s="175"/>
      <c r="AFZ40" s="185"/>
      <c r="AGA40" s="185"/>
      <c r="AGB40" s="185"/>
      <c r="AGC40" s="185"/>
      <c r="AGD40" s="185"/>
      <c r="AGE40" s="193"/>
      <c r="AGF40" s="185"/>
      <c r="AGG40" s="185"/>
      <c r="AGH40" s="185"/>
      <c r="AGI40" s="185"/>
      <c r="AGJ40" s="185"/>
      <c r="AGK40" s="194"/>
      <c r="AGL40" s="185"/>
      <c r="AGM40" s="185"/>
      <c r="AGN40" s="185"/>
      <c r="AGO40" s="185"/>
      <c r="AGP40" s="185"/>
      <c r="AGQ40" s="193"/>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85"/>
      <c r="ARV40" s="185"/>
      <c r="ARW40" s="185"/>
      <c r="ARX40" s="185"/>
      <c r="ARY40" s="194"/>
      <c r="ARZ40" s="185"/>
      <c r="ASA40" s="185"/>
      <c r="ASB40" s="185"/>
      <c r="ASC40" s="185"/>
      <c r="ASD40" s="185"/>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73"/>
    </row>
    <row r="41" spans="1:1566" ht="20.100000000000001" customHeight="1" x14ac:dyDescent="0.25">
      <c r="A41" s="78" t="s">
        <v>53</v>
      </c>
      <c r="B41" s="51" t="str">
        <f>IF(LEN(C67)=0,"",C67)</f>
        <v/>
      </c>
      <c r="C41" s="210" t="s">
        <v>76</v>
      </c>
      <c r="D41" s="119" t="str">
        <f t="shared" si="0"/>
        <v>2h 55 min</v>
      </c>
      <c r="E41" s="26">
        <v>35</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566" ht="20.100000000000001" customHeight="1" x14ac:dyDescent="0.3">
      <c r="A42" s="78" t="s">
        <v>55</v>
      </c>
      <c r="B42" s="51" t="str">
        <f>IF(LEN(C69)=0,"",C69)</f>
        <v/>
      </c>
      <c r="C42" s="212"/>
      <c r="D42" s="121" t="str">
        <f t="shared" si="0"/>
        <v>3h 25 min</v>
      </c>
      <c r="E42" s="30">
        <v>41</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87"/>
      <c r="ACE42" s="187"/>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87"/>
      <c r="AJC42" s="187"/>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87"/>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87"/>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73"/>
    </row>
    <row r="43" spans="1:1566" ht="20.100000000000001" customHeight="1" x14ac:dyDescent="0.25">
      <c r="A43" s="78" t="s">
        <v>53</v>
      </c>
      <c r="B43" s="51" t="str">
        <f>IF(LEN(C71)=0,"",C71)</f>
        <v/>
      </c>
      <c r="C43" s="210" t="s">
        <v>77</v>
      </c>
      <c r="D43" s="119" t="str">
        <f t="shared" si="0"/>
        <v>2h 55 min</v>
      </c>
      <c r="E43" s="26">
        <v>35</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566" ht="20.100000000000001" customHeight="1" x14ac:dyDescent="0.3">
      <c r="A44" s="78" t="s">
        <v>55</v>
      </c>
      <c r="B44" s="51" t="str">
        <f>IF(LEN(C73)=0,"",C73)</f>
        <v/>
      </c>
      <c r="C44" s="211"/>
      <c r="D44" s="121" t="str">
        <f t="shared" si="0"/>
        <v>29h 10 min</v>
      </c>
      <c r="E44" s="30">
        <v>350</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87"/>
      <c r="QS44" s="188"/>
      <c r="QT44" s="187"/>
      <c r="QU44" s="187"/>
      <c r="QV44" s="187"/>
      <c r="QW44" s="187"/>
      <c r="QX44" s="187"/>
      <c r="QY44" s="189"/>
      <c r="QZ44" s="187"/>
      <c r="RA44" s="187"/>
      <c r="RB44" s="187"/>
      <c r="RC44" s="187"/>
      <c r="RD44" s="187"/>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87"/>
      <c r="SA44" s="187"/>
      <c r="SB44" s="187"/>
      <c r="SC44" s="188"/>
      <c r="SD44" s="187"/>
      <c r="SE44" s="187"/>
      <c r="SF44" s="187"/>
      <c r="SG44" s="187"/>
      <c r="SH44" s="187"/>
      <c r="SI44" s="189"/>
      <c r="SJ44" s="187"/>
      <c r="SK44" s="187"/>
      <c r="SL44" s="187"/>
      <c r="SM44" s="187"/>
      <c r="SN44" s="187"/>
      <c r="SO44" s="188"/>
      <c r="SP44" s="187"/>
      <c r="SQ44" s="187"/>
      <c r="SR44" s="187"/>
      <c r="SS44" s="187"/>
      <c r="ST44" s="187"/>
      <c r="SU44" s="189"/>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87"/>
      <c r="UV44" s="187"/>
      <c r="UW44" s="188"/>
      <c r="UX44" s="187"/>
      <c r="UY44" s="187"/>
      <c r="UZ44" s="187"/>
      <c r="VA44" s="187"/>
      <c r="VB44" s="187"/>
      <c r="VC44" s="189"/>
      <c r="VD44" s="187"/>
      <c r="VE44" s="187"/>
      <c r="VF44" s="187"/>
      <c r="VG44" s="187"/>
      <c r="VH44" s="187"/>
      <c r="VI44" s="188"/>
      <c r="VJ44" s="187"/>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87"/>
      <c r="WQ44" s="187"/>
      <c r="WR44" s="187"/>
      <c r="WS44" s="188"/>
      <c r="WT44" s="187"/>
      <c r="WU44" s="187"/>
      <c r="WV44" s="187"/>
      <c r="WW44" s="187"/>
      <c r="WX44" s="187"/>
      <c r="WY44" s="189"/>
      <c r="WZ44" s="187"/>
      <c r="XA44" s="187"/>
      <c r="XB44" s="187"/>
      <c r="XC44" s="187"/>
      <c r="XD44" s="187"/>
      <c r="XE44" s="188"/>
      <c r="XF44" s="187"/>
      <c r="XG44" s="187"/>
      <c r="XH44" s="187"/>
      <c r="XI44" s="187"/>
      <c r="XJ44" s="187"/>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87"/>
      <c r="ZG44" s="189"/>
      <c r="ZH44" s="187"/>
      <c r="ZI44" s="187"/>
      <c r="ZJ44" s="187"/>
      <c r="ZK44" s="187"/>
      <c r="ZL44" s="187"/>
      <c r="ZM44" s="188"/>
      <c r="ZN44" s="187"/>
      <c r="ZO44" s="187"/>
      <c r="ZP44" s="187"/>
      <c r="ZQ44" s="187"/>
      <c r="ZR44" s="187"/>
      <c r="ZS44" s="189"/>
      <c r="ZT44" s="187"/>
      <c r="ZU44" s="187"/>
      <c r="ZV44" s="187"/>
      <c r="ZW44" s="187"/>
      <c r="ZX44" s="187"/>
      <c r="ZY44" s="188"/>
      <c r="ZZ44" s="187"/>
      <c r="AAA44" s="187"/>
      <c r="AAB44" s="187"/>
      <c r="AAC44" s="187"/>
      <c r="AAD44" s="187"/>
      <c r="AAE44" s="189"/>
      <c r="AAF44" s="187"/>
      <c r="AAG44" s="187"/>
      <c r="AAH44" s="187"/>
      <c r="AAI44" s="187"/>
      <c r="AAJ44" s="187"/>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87"/>
      <c r="ABG44" s="187"/>
      <c r="ABH44" s="187"/>
      <c r="ABI44" s="188"/>
      <c r="ABJ44" s="187"/>
      <c r="ABK44" s="187"/>
      <c r="ABL44" s="187"/>
      <c r="ABM44" s="187"/>
      <c r="ABN44" s="187"/>
      <c r="ABO44" s="189"/>
      <c r="ABP44" s="187"/>
      <c r="ABQ44" s="187"/>
      <c r="ABR44" s="187"/>
      <c r="ABS44" s="187"/>
      <c r="ABT44" s="187"/>
      <c r="ABU44" s="188"/>
      <c r="ABV44" s="187"/>
      <c r="ABW44" s="187"/>
      <c r="ABX44" s="187"/>
      <c r="ABY44" s="187"/>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90"/>
      <c r="ADG44" s="187"/>
      <c r="ADH44" s="187"/>
      <c r="ADI44" s="187"/>
      <c r="ADJ44" s="187"/>
      <c r="ADK44" s="191"/>
      <c r="ADL44" s="187"/>
      <c r="ADM44" s="187"/>
      <c r="ADN44" s="187"/>
      <c r="ADO44" s="187"/>
      <c r="ADP44" s="187"/>
      <c r="ADQ44" s="188"/>
      <c r="ADR44" s="187"/>
      <c r="ADS44" s="187"/>
      <c r="ADT44" s="187"/>
      <c r="ADU44" s="187"/>
      <c r="ADV44" s="187"/>
      <c r="ADW44" s="189"/>
      <c r="ADX44" s="187"/>
      <c r="ADY44" s="187"/>
      <c r="ADZ44" s="187"/>
      <c r="AEA44" s="187"/>
      <c r="AEB44" s="187"/>
      <c r="AEC44" s="188"/>
      <c r="AED44" s="187"/>
      <c r="AEE44" s="187"/>
      <c r="AEF44" s="187"/>
      <c r="AEG44" s="187"/>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87"/>
      <c r="AGS44" s="187"/>
      <c r="AGT44" s="187"/>
      <c r="AGU44" s="187"/>
      <c r="AGV44" s="187"/>
      <c r="AGW44" s="188"/>
      <c r="AGX44" s="187"/>
      <c r="AGY44" s="187"/>
      <c r="AGZ44" s="187"/>
      <c r="AHA44" s="187"/>
      <c r="AHB44" s="187"/>
      <c r="AHC44" s="189"/>
      <c r="AHD44" s="187"/>
      <c r="AHE44" s="187"/>
      <c r="AHF44" s="187"/>
      <c r="AHG44" s="187"/>
      <c r="AHH44" s="179"/>
      <c r="AHI44" s="181"/>
      <c r="AHJ44" s="179"/>
      <c r="AHK44" s="179"/>
      <c r="AHL44" s="179"/>
      <c r="AHM44" s="179"/>
      <c r="AHN44" s="179"/>
      <c r="AHO44" s="182"/>
      <c r="AHP44" s="179"/>
      <c r="AHQ44" s="179"/>
      <c r="AHR44" s="179"/>
      <c r="AHS44" s="179"/>
      <c r="AHT44" s="179"/>
      <c r="AHU44" s="183"/>
      <c r="AHV44" s="190"/>
      <c r="AHW44" s="187"/>
      <c r="AHX44" s="187"/>
      <c r="AHY44" s="187"/>
      <c r="AHZ44" s="187"/>
      <c r="AIA44" s="191"/>
      <c r="AIB44" s="187"/>
      <c r="AIC44" s="187"/>
      <c r="AID44" s="187"/>
      <c r="AIE44" s="187"/>
      <c r="AIF44" s="187"/>
      <c r="AIG44" s="188"/>
      <c r="AIH44" s="187"/>
      <c r="AII44" s="187"/>
      <c r="AIJ44" s="187"/>
      <c r="AIK44" s="187"/>
      <c r="AIL44" s="187"/>
      <c r="AIM44" s="189"/>
      <c r="AIN44" s="187"/>
      <c r="AIO44" s="187"/>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90"/>
      <c r="AKE44" s="187"/>
      <c r="AKF44" s="187"/>
      <c r="AKG44" s="187"/>
      <c r="AKH44" s="187"/>
      <c r="AKI44" s="191"/>
      <c r="AKJ44" s="187"/>
      <c r="AKK44" s="187"/>
      <c r="AKL44" s="187"/>
      <c r="AKM44" s="187"/>
      <c r="AKN44" s="187"/>
      <c r="AKO44" s="188"/>
      <c r="AKP44" s="187"/>
      <c r="AKQ44" s="187"/>
      <c r="AKR44" s="187"/>
      <c r="AKS44" s="187"/>
      <c r="AKT44" s="187"/>
      <c r="AKU44" s="189"/>
      <c r="AKV44" s="187"/>
      <c r="AKW44" s="187"/>
      <c r="AKX44" s="187"/>
      <c r="AKY44" s="187"/>
      <c r="AKZ44" s="187"/>
      <c r="ALA44" s="188"/>
      <c r="ALB44" s="187"/>
      <c r="ALC44" s="187"/>
      <c r="ALD44" s="187"/>
      <c r="ALE44" s="187"/>
      <c r="ALF44" s="187"/>
      <c r="ALG44" s="189"/>
      <c r="ALH44" s="187"/>
      <c r="ALI44" s="187"/>
      <c r="ALJ44" s="187"/>
      <c r="ALK44" s="187"/>
      <c r="ALL44" s="187"/>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90"/>
      <c r="AMM44" s="187"/>
      <c r="AMN44" s="187"/>
      <c r="AMO44" s="187"/>
      <c r="AMP44" s="187"/>
      <c r="AMQ44" s="191"/>
      <c r="AMR44" s="187"/>
      <c r="AMS44" s="187"/>
      <c r="AMT44" s="187"/>
      <c r="AMU44" s="187"/>
      <c r="AMV44" s="187"/>
      <c r="AMW44" s="188"/>
      <c r="AMX44" s="187"/>
      <c r="AMY44" s="187"/>
      <c r="AMZ44" s="187"/>
      <c r="ANA44" s="187"/>
      <c r="ANB44" s="187"/>
      <c r="ANC44" s="189"/>
      <c r="AND44" s="187"/>
      <c r="ANE44" s="187"/>
      <c r="ANF44" s="187"/>
      <c r="ANG44" s="187"/>
      <c r="ANH44" s="187"/>
      <c r="ANI44" s="188"/>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90"/>
      <c r="AOU44" s="187"/>
      <c r="AOV44" s="187"/>
      <c r="AOW44" s="187"/>
      <c r="AOX44" s="187"/>
      <c r="AOY44" s="191"/>
      <c r="AOZ44" s="187"/>
      <c r="APA44" s="187"/>
      <c r="APB44" s="187"/>
      <c r="APC44" s="187"/>
      <c r="APD44" s="187"/>
      <c r="APE44" s="188"/>
      <c r="APF44" s="187"/>
      <c r="APG44" s="187"/>
      <c r="APH44" s="187"/>
      <c r="API44" s="187"/>
      <c r="APJ44" s="187"/>
      <c r="APK44" s="189"/>
      <c r="APL44" s="187"/>
      <c r="APM44" s="187"/>
      <c r="APN44" s="187"/>
      <c r="APO44" s="187"/>
      <c r="APP44" s="187"/>
      <c r="APQ44" s="188"/>
      <c r="APR44" s="187"/>
      <c r="APS44" s="187"/>
      <c r="APT44" s="187"/>
      <c r="APU44" s="187"/>
      <c r="APV44" s="187"/>
      <c r="APW44" s="189"/>
      <c r="APX44" s="187"/>
      <c r="APY44" s="187"/>
      <c r="APZ44" s="187"/>
      <c r="AQA44" s="187"/>
      <c r="AQB44" s="187"/>
      <c r="AQC44" s="188"/>
      <c r="AQD44" s="187"/>
      <c r="AQE44" s="187"/>
      <c r="AQF44" s="187"/>
      <c r="AQG44" s="187"/>
      <c r="AQH44" s="187"/>
      <c r="AQI44" s="189"/>
      <c r="AQJ44" s="187"/>
      <c r="AQK44" s="187"/>
      <c r="AQL44" s="187"/>
      <c r="AQM44" s="187"/>
      <c r="AQN44" s="179"/>
      <c r="AQO44" s="181"/>
      <c r="AQP44" s="179"/>
      <c r="AQQ44" s="179"/>
      <c r="AQR44" s="179"/>
      <c r="AQS44" s="179"/>
      <c r="AQT44" s="179"/>
      <c r="AQU44" s="182"/>
      <c r="AQV44" s="179"/>
      <c r="AQW44" s="179"/>
      <c r="AQX44" s="179"/>
      <c r="AQY44" s="179"/>
      <c r="AQZ44" s="179"/>
      <c r="ARA44" s="183"/>
      <c r="ARB44" s="190"/>
      <c r="ARC44" s="187"/>
      <c r="ARD44" s="187"/>
      <c r="ARE44" s="187"/>
      <c r="ARF44" s="187"/>
      <c r="ARG44" s="191"/>
      <c r="ARH44" s="187"/>
      <c r="ARI44" s="187"/>
      <c r="ARJ44" s="187"/>
      <c r="ARK44" s="187"/>
      <c r="ARL44" s="187"/>
      <c r="ARM44" s="188"/>
      <c r="ARN44" s="187"/>
      <c r="ARO44" s="187"/>
      <c r="ARP44" s="187"/>
      <c r="ARQ44" s="187"/>
      <c r="ARR44" s="187"/>
      <c r="ARS44" s="189"/>
      <c r="ART44" s="187"/>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90"/>
      <c r="AVS44" s="187"/>
      <c r="AVT44" s="187"/>
      <c r="AVU44" s="187"/>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73"/>
    </row>
    <row r="45" spans="1:1566" ht="20.100000000000001" customHeight="1" x14ac:dyDescent="0.25">
      <c r="A45" s="78" t="s">
        <v>53</v>
      </c>
      <c r="B45" s="51" t="str">
        <f>IF(LEN(C75)=0,"",C75)</f>
        <v/>
      </c>
      <c r="C45" s="210" t="s">
        <v>95</v>
      </c>
      <c r="D45" s="119" t="str">
        <f t="shared" si="0"/>
        <v>2h 55 min</v>
      </c>
      <c r="E45" s="34">
        <v>35</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566" ht="20.100000000000001" customHeight="1" x14ac:dyDescent="0.25">
      <c r="A46" s="78" t="s">
        <v>55</v>
      </c>
      <c r="B46" s="51" t="str">
        <f>IF(LEN(C77)=0,"",C77)</f>
        <v/>
      </c>
      <c r="C46" s="212"/>
      <c r="D46" s="120" t="str">
        <f t="shared" si="0"/>
        <v>4h 40 min</v>
      </c>
      <c r="E46" s="30">
        <v>56</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8"/>
      <c r="MD46" s="187"/>
      <c r="ME46" s="187"/>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8"/>
      <c r="TB46" s="187"/>
      <c r="TC46" s="187"/>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8"/>
      <c r="ACH46" s="187"/>
      <c r="ACI46" s="187"/>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8"/>
      <c r="AJF46" s="187"/>
      <c r="AJG46" s="187"/>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87"/>
      <c r="ASM46" s="187"/>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87"/>
      <c r="AZK46" s="187"/>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87"/>
      <c r="BGI46" s="187"/>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73"/>
    </row>
    <row r="47" spans="1:1566" ht="20.100000000000001" customHeight="1" x14ac:dyDescent="0.25">
      <c r="A47" s="78" t="s">
        <v>53</v>
      </c>
      <c r="B47" s="51" t="str">
        <f>IF(LEN(C79)=0,"",C79)</f>
        <v/>
      </c>
      <c r="C47" s="210" t="s">
        <v>81</v>
      </c>
      <c r="D47" s="119" t="str">
        <f t="shared" si="0"/>
        <v>2h 55 min</v>
      </c>
      <c r="E47" s="34">
        <v>35</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566" ht="20.100000000000001" customHeight="1" x14ac:dyDescent="0.3">
      <c r="A48" s="78" t="s">
        <v>55</v>
      </c>
      <c r="B48" s="51" t="str">
        <f>IF(LEN(C81)=0,"",C81)</f>
        <v/>
      </c>
      <c r="C48" s="212"/>
      <c r="D48" s="121" t="str">
        <f t="shared" si="0"/>
        <v>3h 20 min</v>
      </c>
      <c r="E48" s="22">
        <v>40</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93"/>
      <c r="ASF48" s="185"/>
      <c r="ASG48" s="185"/>
      <c r="ASH48" s="185"/>
      <c r="ASI48" s="185"/>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73"/>
    </row>
    <row r="49" spans="1:1566" ht="20.100000000000001" customHeight="1" x14ac:dyDescent="0.25">
      <c r="A49" s="78" t="s">
        <v>53</v>
      </c>
      <c r="B49" s="51" t="str">
        <f>IF(LEN(C83)=0,"",C83)</f>
        <v/>
      </c>
      <c r="C49" s="210" t="s">
        <v>78</v>
      </c>
      <c r="D49" s="119" t="str">
        <f t="shared" si="0"/>
        <v>2h 55 min</v>
      </c>
      <c r="E49" s="26">
        <v>35</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566" ht="20.100000000000001" customHeight="1" x14ac:dyDescent="0.3">
      <c r="A50" s="78" t="s">
        <v>55</v>
      </c>
      <c r="B50" s="51" t="str">
        <f>IF(LEN(C85)=0,"",C85)</f>
        <v/>
      </c>
      <c r="C50" s="212"/>
      <c r="D50" s="121" t="str">
        <f t="shared" si="0"/>
        <v>2h 55 min</v>
      </c>
      <c r="E50" s="30">
        <v>35</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73"/>
    </row>
    <row r="51" spans="1:1566" ht="20.100000000000001" customHeight="1" x14ac:dyDescent="0.25">
      <c r="A51" s="78" t="s">
        <v>53</v>
      </c>
      <c r="B51" s="51" t="str">
        <f>IF(LEN(C87)=0,"",C87)</f>
        <v/>
      </c>
      <c r="C51" s="210"/>
      <c r="D51" s="119" t="str">
        <f t="shared" si="0"/>
        <v>2h 55 min</v>
      </c>
      <c r="E51" s="34">
        <v>35</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566" ht="20.100000000000001" customHeight="1" x14ac:dyDescent="0.25">
      <c r="A52" s="78" t="s">
        <v>55</v>
      </c>
      <c r="B52" s="51" t="str">
        <f>IF(LEN(C89)=0,"",C89)</f>
        <v/>
      </c>
      <c r="C52" s="211"/>
      <c r="D52" s="120" t="str">
        <f t="shared" si="0"/>
        <v>2h 55 min</v>
      </c>
      <c r="E52" s="22">
        <v>35</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73"/>
    </row>
    <row r="53" spans="1:1566" ht="20.100000000000001" customHeight="1" x14ac:dyDescent="0.25">
      <c r="A53" s="78" t="s">
        <v>53</v>
      </c>
      <c r="B53" s="51" t="str">
        <f>IF(LEN(C91)=0,"",C91)</f>
        <v/>
      </c>
      <c r="C53" s="210"/>
      <c r="D53" s="119" t="str">
        <f t="shared" si="0"/>
        <v>2h 55 min</v>
      </c>
      <c r="E53" s="26">
        <v>35</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566" ht="20.100000000000001" customHeight="1" x14ac:dyDescent="0.3">
      <c r="A54" s="78" t="s">
        <v>55</v>
      </c>
      <c r="B54" s="51" t="str">
        <f>IF(LEN(C93)=0,"",C93)</f>
        <v/>
      </c>
      <c r="C54" s="212"/>
      <c r="D54" s="121" t="str">
        <f t="shared" si="0"/>
        <v>2h 55 min</v>
      </c>
      <c r="E54" s="30">
        <v>35</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73"/>
    </row>
    <row r="55" spans="1:1566" ht="20.100000000000001" customHeight="1" x14ac:dyDescent="0.25">
      <c r="A55" s="78" t="s">
        <v>53</v>
      </c>
      <c r="B55" s="51"/>
      <c r="C55" s="210"/>
      <c r="D55" s="119" t="str">
        <f t="shared" si="0"/>
        <v>2h 55 min</v>
      </c>
      <c r="E55" s="34">
        <v>35</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566" ht="20.100000000000001" customHeight="1" x14ac:dyDescent="0.25">
      <c r="A56" s="78" t="s">
        <v>55</v>
      </c>
      <c r="B56" s="51"/>
      <c r="C56" s="212"/>
      <c r="D56" s="120" t="str">
        <f t="shared" si="0"/>
        <v>2h 55 min</v>
      </c>
      <c r="E56" s="22">
        <v>35</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73"/>
    </row>
    <row r="57" spans="1:1566" ht="20.100000000000001" customHeight="1" x14ac:dyDescent="0.25">
      <c r="A57" s="78" t="s">
        <v>53</v>
      </c>
      <c r="B57" s="51"/>
      <c r="C57" s="210"/>
      <c r="D57" s="119" t="str">
        <f t="shared" si="0"/>
        <v>2h 55 min</v>
      </c>
      <c r="E57" s="26">
        <v>35</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566" ht="20.100000000000001" customHeight="1" x14ac:dyDescent="0.3">
      <c r="A58" s="78" t="s">
        <v>55</v>
      </c>
      <c r="B58" s="51"/>
      <c r="C58" s="211"/>
      <c r="D58" s="121" t="str">
        <f t="shared" si="0"/>
        <v>2h 55 min</v>
      </c>
      <c r="E58" s="30">
        <v>35</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73"/>
    </row>
    <row r="59" spans="1:1566" ht="20.100000000000001" customHeight="1" x14ac:dyDescent="0.25">
      <c r="A59" s="78" t="s">
        <v>53</v>
      </c>
      <c r="B59" s="51"/>
      <c r="C59" s="210"/>
      <c r="D59" s="119" t="str">
        <f t="shared" si="0"/>
        <v>2h 55 min</v>
      </c>
      <c r="E59" s="26">
        <v>35</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566" ht="20.100000000000001" customHeight="1" x14ac:dyDescent="0.3">
      <c r="A60" s="78" t="s">
        <v>55</v>
      </c>
      <c r="B60" s="51"/>
      <c r="C60" s="212"/>
      <c r="D60" s="121" t="str">
        <f t="shared" si="0"/>
        <v>2h 55 min</v>
      </c>
      <c r="E60" s="30">
        <v>35</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73"/>
    </row>
    <row r="61" spans="1:1566" ht="20.100000000000001" customHeight="1" x14ac:dyDescent="0.25">
      <c r="A61" s="78" t="s">
        <v>53</v>
      </c>
      <c r="B61" s="51"/>
      <c r="C61" s="210"/>
      <c r="D61" s="119" t="str">
        <f t="shared" si="0"/>
        <v>2h 55 min</v>
      </c>
      <c r="E61" s="34">
        <v>35</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566" ht="20.100000000000001" customHeight="1" x14ac:dyDescent="0.25">
      <c r="A62" s="78" t="s">
        <v>55</v>
      </c>
      <c r="B62" s="51"/>
      <c r="C62" s="211"/>
      <c r="D62" s="120" t="str">
        <f t="shared" si="0"/>
        <v>2h 55 min</v>
      </c>
      <c r="E62" s="80">
        <v>35</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73"/>
    </row>
    <row r="63" spans="1:1566" ht="20.100000000000001" customHeight="1" x14ac:dyDescent="0.25">
      <c r="A63" s="78" t="s">
        <v>53</v>
      </c>
      <c r="B63" s="51"/>
      <c r="C63" s="210"/>
      <c r="D63" s="119" t="str">
        <f t="shared" si="0"/>
        <v>2h 55 min</v>
      </c>
      <c r="E63" s="34">
        <v>35</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566" ht="20.100000000000001" customHeight="1" x14ac:dyDescent="0.3">
      <c r="A64" s="78" t="s">
        <v>55</v>
      </c>
      <c r="B64" s="51"/>
      <c r="C64" s="212"/>
      <c r="D64" s="121" t="str">
        <f t="shared" si="0"/>
        <v>2h 55 min</v>
      </c>
      <c r="E64" s="22">
        <v>35</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73"/>
    </row>
    <row r="65" spans="1:1566" ht="20.100000000000001" customHeight="1" x14ac:dyDescent="0.25">
      <c r="A65" s="78" t="s">
        <v>53</v>
      </c>
      <c r="B65" s="51"/>
      <c r="C65" s="210"/>
      <c r="D65" s="119" t="str">
        <f t="shared" si="0"/>
        <v>2h 55 min</v>
      </c>
      <c r="E65" s="26">
        <v>35</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566" ht="20.100000000000001" customHeight="1" x14ac:dyDescent="0.3">
      <c r="A66" s="78" t="s">
        <v>55</v>
      </c>
      <c r="B66" s="51"/>
      <c r="C66" s="212"/>
      <c r="D66" s="121" t="str">
        <f t="shared" si="0"/>
        <v>2h 55 min</v>
      </c>
      <c r="E66" s="30">
        <v>35</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73"/>
    </row>
    <row r="67" spans="1:1566" ht="20.100000000000001" customHeight="1" x14ac:dyDescent="0.25">
      <c r="A67" s="78" t="s">
        <v>53</v>
      </c>
      <c r="B67" s="51"/>
      <c r="C67" s="210"/>
      <c r="D67" s="119" t="str">
        <f t="shared" si="0"/>
        <v>2h 55 min</v>
      </c>
      <c r="E67" s="34">
        <v>35</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566" ht="20.100000000000001" customHeight="1" x14ac:dyDescent="0.25">
      <c r="A68" s="78" t="s">
        <v>55</v>
      </c>
      <c r="B68" s="51"/>
      <c r="C68" s="211"/>
      <c r="D68" s="120" t="str">
        <f t="shared" si="0"/>
        <v>2h 55 min</v>
      </c>
      <c r="E68" s="22">
        <v>35</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73"/>
    </row>
    <row r="69" spans="1:1566" ht="20.100000000000001" customHeight="1" x14ac:dyDescent="0.25">
      <c r="A69" s="78" t="s">
        <v>53</v>
      </c>
      <c r="B69" s="51"/>
      <c r="C69" s="210"/>
      <c r="D69" s="119" t="str">
        <f t="shared" si="0"/>
        <v>2h 55 min</v>
      </c>
      <c r="E69" s="26">
        <v>35</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566" ht="20.100000000000001" customHeight="1" x14ac:dyDescent="0.3">
      <c r="A70" s="78" t="s">
        <v>55</v>
      </c>
      <c r="B70" s="51"/>
      <c r="C70" s="212"/>
      <c r="D70" s="121" t="str">
        <f t="shared" si="0"/>
        <v>2h 55 min</v>
      </c>
      <c r="E70" s="30">
        <v>35</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73"/>
    </row>
    <row r="71" spans="1:1566" ht="20.100000000000001" customHeight="1" x14ac:dyDescent="0.25">
      <c r="A71" s="78" t="s">
        <v>53</v>
      </c>
      <c r="B71" s="51"/>
      <c r="C71" s="210"/>
      <c r="D71" s="119" t="str">
        <f t="shared" si="0"/>
        <v>2h 55 min</v>
      </c>
      <c r="E71" s="34">
        <v>35</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566" ht="20.100000000000001" customHeight="1" x14ac:dyDescent="0.25">
      <c r="A72" s="78" t="s">
        <v>55</v>
      </c>
      <c r="B72" s="51"/>
      <c r="C72" s="211"/>
      <c r="D72" s="120" t="str">
        <f t="shared" si="0"/>
        <v>2h 55 min</v>
      </c>
      <c r="E72" s="22">
        <v>35</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73"/>
    </row>
    <row r="73" spans="1:1566" ht="20.100000000000001" customHeight="1" x14ac:dyDescent="0.25">
      <c r="A73" s="78" t="s">
        <v>53</v>
      </c>
      <c r="B73" s="51"/>
      <c r="C73" s="210"/>
      <c r="D73" s="119" t="str">
        <f t="shared" si="0"/>
        <v>2h 55 min</v>
      </c>
      <c r="E73" s="26">
        <v>35</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566" ht="20.100000000000001" customHeight="1" x14ac:dyDescent="0.3">
      <c r="A74" s="78" t="s">
        <v>55</v>
      </c>
      <c r="B74" s="51"/>
      <c r="C74" s="212"/>
      <c r="D74" s="121" t="str">
        <f t="shared" si="0"/>
        <v>2h 55 min</v>
      </c>
      <c r="E74" s="30">
        <v>35</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73"/>
    </row>
    <row r="75" spans="1:1566" ht="20.100000000000001" customHeight="1" x14ac:dyDescent="0.25">
      <c r="A75" s="78" t="s">
        <v>53</v>
      </c>
      <c r="B75" s="51"/>
      <c r="C75" s="210"/>
      <c r="D75" s="119" t="str">
        <f t="shared" si="0"/>
        <v>2h 55 min</v>
      </c>
      <c r="E75" s="26">
        <v>35</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566" ht="20.100000000000001" customHeight="1" x14ac:dyDescent="0.3">
      <c r="A76" s="78" t="s">
        <v>55</v>
      </c>
      <c r="B76" s="51"/>
      <c r="C76" s="212"/>
      <c r="D76" s="121" t="str">
        <f t="shared" si="0"/>
        <v>2h 55 min</v>
      </c>
      <c r="E76" s="30">
        <v>35</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73"/>
    </row>
    <row r="77" spans="1:1566" ht="20.100000000000001" customHeight="1" x14ac:dyDescent="0.25">
      <c r="A77" s="78" t="s">
        <v>53</v>
      </c>
      <c r="B77" s="51"/>
      <c r="C77" s="210"/>
      <c r="D77" s="119" t="str">
        <f t="shared" si="0"/>
        <v>2h 55 min</v>
      </c>
      <c r="E77" s="34">
        <v>35</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566" ht="20.100000000000001" customHeight="1" x14ac:dyDescent="0.25">
      <c r="A78" s="78" t="s">
        <v>55</v>
      </c>
      <c r="B78" s="51"/>
      <c r="C78" s="211"/>
      <c r="D78" s="120" t="str">
        <f t="shared" si="0"/>
        <v>2h 55 min</v>
      </c>
      <c r="E78" s="80">
        <v>35</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73"/>
    </row>
    <row r="79" spans="1:1566" ht="20.100000000000001" customHeight="1" x14ac:dyDescent="0.25">
      <c r="A79" s="78" t="s">
        <v>53</v>
      </c>
      <c r="B79" s="51"/>
      <c r="C79" s="210"/>
      <c r="D79" s="119" t="str">
        <f t="shared" si="0"/>
        <v>2h 55 min</v>
      </c>
      <c r="E79" s="34">
        <v>35</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566" ht="20.100000000000001" customHeight="1" x14ac:dyDescent="0.3">
      <c r="A80" s="78" t="s">
        <v>55</v>
      </c>
      <c r="B80" s="51"/>
      <c r="C80" s="212"/>
      <c r="D80" s="121" t="str">
        <f t="shared" ref="D80:D94" si="1">setValueToTime(E80)</f>
        <v>2h 55 min</v>
      </c>
      <c r="E80" s="22">
        <v>35</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73"/>
    </row>
    <row r="81" spans="1:1566" ht="20.100000000000001" customHeight="1" x14ac:dyDescent="0.25">
      <c r="A81" s="78" t="s">
        <v>53</v>
      </c>
      <c r="B81" s="51"/>
      <c r="C81" s="210"/>
      <c r="D81" s="119" t="str">
        <f t="shared" si="1"/>
        <v>2h 55 min</v>
      </c>
      <c r="E81" s="26">
        <v>35</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566" ht="20.100000000000001" customHeight="1" x14ac:dyDescent="0.3">
      <c r="A82" s="78" t="s">
        <v>55</v>
      </c>
      <c r="B82" s="51"/>
      <c r="C82" s="212"/>
      <c r="D82" s="121" t="str">
        <f t="shared" si="1"/>
        <v>2h 55 min</v>
      </c>
      <c r="E82" s="30">
        <v>35</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73"/>
    </row>
    <row r="83" spans="1:1566" ht="20.100000000000001" customHeight="1" x14ac:dyDescent="0.25">
      <c r="A83" s="78" t="s">
        <v>53</v>
      </c>
      <c r="B83" s="51"/>
      <c r="C83" s="210"/>
      <c r="D83" s="119" t="str">
        <f t="shared" si="1"/>
        <v>2h 55 min</v>
      </c>
      <c r="E83" s="34">
        <v>35</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566" ht="20.100000000000001" customHeight="1" x14ac:dyDescent="0.25">
      <c r="A84" s="78" t="s">
        <v>55</v>
      </c>
      <c r="B84" s="51"/>
      <c r="C84" s="211"/>
      <c r="D84" s="120" t="str">
        <f t="shared" si="1"/>
        <v>2h 55 min</v>
      </c>
      <c r="E84" s="22">
        <v>35</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73"/>
    </row>
    <row r="85" spans="1:1566" ht="20.100000000000001" customHeight="1" x14ac:dyDescent="0.25">
      <c r="A85" s="78" t="s">
        <v>53</v>
      </c>
      <c r="B85" s="51"/>
      <c r="C85" s="210"/>
      <c r="D85" s="119" t="str">
        <f t="shared" si="1"/>
        <v>2h 55 min</v>
      </c>
      <c r="E85" s="26">
        <v>35</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566" ht="20.100000000000001" customHeight="1" x14ac:dyDescent="0.3">
      <c r="A86" s="78" t="s">
        <v>55</v>
      </c>
      <c r="B86" s="51"/>
      <c r="C86" s="212"/>
      <c r="D86" s="121" t="str">
        <f t="shared" si="1"/>
        <v>2h 55 min</v>
      </c>
      <c r="E86" s="30">
        <v>35</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73"/>
    </row>
    <row r="87" spans="1:1566" ht="20.100000000000001" customHeight="1" x14ac:dyDescent="0.25">
      <c r="A87" s="78" t="s">
        <v>53</v>
      </c>
      <c r="B87" s="51"/>
      <c r="C87" s="210"/>
      <c r="D87" s="119" t="str">
        <f t="shared" si="1"/>
        <v>2h 55 min</v>
      </c>
      <c r="E87" s="34">
        <v>35</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566" ht="20.100000000000001" customHeight="1" x14ac:dyDescent="0.25">
      <c r="A88" s="78" t="s">
        <v>55</v>
      </c>
      <c r="B88" s="51"/>
      <c r="C88" s="211"/>
      <c r="D88" s="120" t="str">
        <f t="shared" si="1"/>
        <v>2h 55 min</v>
      </c>
      <c r="E88" s="22">
        <v>35</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73"/>
    </row>
    <row r="89" spans="1:1566" ht="20.100000000000001" customHeight="1" x14ac:dyDescent="0.25">
      <c r="A89" s="78" t="s">
        <v>53</v>
      </c>
      <c r="B89" s="51"/>
      <c r="C89" s="210"/>
      <c r="D89" s="119" t="str">
        <f t="shared" si="1"/>
        <v>2h 55 min</v>
      </c>
      <c r="E89" s="26">
        <v>35</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566" ht="20.100000000000001" customHeight="1" x14ac:dyDescent="0.3">
      <c r="A90" s="78" t="s">
        <v>55</v>
      </c>
      <c r="B90" s="51"/>
      <c r="C90" s="212"/>
      <c r="D90" s="121" t="str">
        <f t="shared" si="1"/>
        <v>2h 55 min</v>
      </c>
      <c r="E90" s="30">
        <v>35</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73"/>
    </row>
    <row r="91" spans="1:1566" ht="20.100000000000001" customHeight="1" x14ac:dyDescent="0.25">
      <c r="A91" s="78" t="s">
        <v>53</v>
      </c>
      <c r="B91" s="51"/>
      <c r="C91" s="210"/>
      <c r="D91" s="119" t="str">
        <f t="shared" si="1"/>
        <v>2h 55 min</v>
      </c>
      <c r="E91" s="26">
        <v>35</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566" ht="20.100000000000001" customHeight="1" x14ac:dyDescent="0.3">
      <c r="A92" s="78" t="s">
        <v>55</v>
      </c>
      <c r="B92" s="51"/>
      <c r="C92" s="212"/>
      <c r="D92" s="121" t="str">
        <f t="shared" si="1"/>
        <v>2h 55 min</v>
      </c>
      <c r="E92" s="30">
        <v>35</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73"/>
    </row>
    <row r="93" spans="1:1566" ht="20.100000000000001" customHeight="1" x14ac:dyDescent="0.25">
      <c r="A93" s="78" t="s">
        <v>53</v>
      </c>
      <c r="B93" s="51"/>
      <c r="C93" s="210"/>
      <c r="D93" s="119" t="str">
        <f t="shared" si="1"/>
        <v>2h 55 min</v>
      </c>
      <c r="E93" s="34">
        <v>35</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566" ht="20.100000000000001" customHeight="1" x14ac:dyDescent="0.25">
      <c r="A94" s="78" t="s">
        <v>55</v>
      </c>
      <c r="B94" s="51"/>
      <c r="C94" s="211"/>
      <c r="D94" s="120" t="str">
        <f t="shared" si="1"/>
        <v>2h 55 min</v>
      </c>
      <c r="E94" s="22">
        <v>35</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73"/>
    </row>
    <row r="95" spans="1:1566" ht="20.100000000000001" customHeight="1" x14ac:dyDescent="0.25">
      <c r="B95" s="51"/>
      <c r="C95" s="225" t="s">
        <v>59</v>
      </c>
      <c r="D95" s="226"/>
      <c r="E95" s="92">
        <f>SUM(E15,E17,E19,E21,E23,E25,E27,E29,E31,E33,E35,E37,E39,E41,E43,E45,E47,E49,E51,E53,E55,E57,E59,E61,E63,E65,E67,E69,E71,E73,E75,E77,E79,E81,E83,E85,E87,E89,E91,E93)</f>
        <v>1400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566" ht="20.100000000000001" customHeight="1" thickBot="1" x14ac:dyDescent="0.3">
      <c r="B96" s="51"/>
      <c r="C96" s="227"/>
      <c r="D96" s="228"/>
      <c r="E96" s="98" t="str">
        <f xml:space="preserve"> setValueToTime(E95)</f>
        <v>116h 40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21" t="s">
        <v>60</v>
      </c>
      <c r="D97" s="222"/>
      <c r="E97" s="93">
        <f>SUM(E16,E18,E20,E22,E24,E26,E28,E30,E32,E34,E36,E38,E40,E42,E44,E46,E48,E50,E52,E54,E56,E58,E60,E62,E64,E66,E68,E70,E72,E74,E76,E78,E80,E82,E84,E86,E88,E90,E92,E94)</f>
        <v>2421</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23"/>
      <c r="D98" s="224"/>
      <c r="E98" s="97" t="str">
        <f xml:space="preserve"> setValueToTime(E97)</f>
        <v>201h 45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C12" sqref="C1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7" t="s">
        <v>66</v>
      </c>
      <c r="G3" s="238"/>
      <c r="H3" s="151"/>
    </row>
    <row r="4" spans="1:8" s="43" customFormat="1" x14ac:dyDescent="0.3">
      <c r="B4" s="40"/>
      <c r="C4" s="41"/>
      <c r="D4" s="125" t="str">
        <f xml:space="preserve"> IF(C4="","",setValueToTime(C4))</f>
        <v/>
      </c>
      <c r="E4" s="42"/>
      <c r="F4" s="239"/>
      <c r="G4" s="240"/>
      <c r="H4" s="152"/>
    </row>
    <row r="5" spans="1:8" s="43" customFormat="1" x14ac:dyDescent="0.3">
      <c r="B5" s="44"/>
      <c r="C5" s="45"/>
      <c r="D5" s="126" t="str">
        <f t="shared" ref="D5:D11" si="0" xml:space="preserve"> IF(C5="","",setValueToTime(C5))</f>
        <v/>
      </c>
      <c r="E5" s="46"/>
      <c r="F5" s="241"/>
      <c r="G5" s="242"/>
      <c r="H5" s="152"/>
    </row>
    <row r="6" spans="1:8" s="43" customFormat="1" x14ac:dyDescent="0.3">
      <c r="B6" s="44"/>
      <c r="C6" s="45"/>
      <c r="D6" s="126" t="str">
        <f t="shared" si="0"/>
        <v/>
      </c>
      <c r="E6" s="46"/>
      <c r="F6" s="241"/>
      <c r="G6" s="242"/>
      <c r="H6" s="152"/>
    </row>
    <row r="7" spans="1:8" s="43" customFormat="1" x14ac:dyDescent="0.3">
      <c r="B7" s="44"/>
      <c r="C7" s="45"/>
      <c r="D7" s="126" t="str">
        <f t="shared" si="0"/>
        <v/>
      </c>
      <c r="E7" s="46"/>
      <c r="F7" s="241"/>
      <c r="G7" s="242"/>
      <c r="H7" s="152"/>
    </row>
    <row r="8" spans="1:8" s="43" customFormat="1" x14ac:dyDescent="0.3">
      <c r="B8" s="44"/>
      <c r="C8" s="45"/>
      <c r="D8" s="127" t="str">
        <f t="shared" si="0"/>
        <v/>
      </c>
      <c r="E8" s="46"/>
      <c r="F8" s="241"/>
      <c r="G8" s="242"/>
      <c r="H8" s="152"/>
    </row>
    <row r="9" spans="1:8" s="43" customFormat="1" x14ac:dyDescent="0.3">
      <c r="B9" s="44"/>
      <c r="C9" s="45"/>
      <c r="D9" s="127" t="str">
        <f t="shared" si="0"/>
        <v/>
      </c>
      <c r="E9" s="46"/>
      <c r="F9" s="241"/>
      <c r="G9" s="242"/>
      <c r="H9" s="152"/>
    </row>
    <row r="10" spans="1:8" s="43" customFormat="1" x14ac:dyDescent="0.3">
      <c r="B10" s="44"/>
      <c r="C10" s="45"/>
      <c r="D10" s="127" t="str">
        <f t="shared" si="0"/>
        <v/>
      </c>
      <c r="E10" s="46"/>
      <c r="F10" s="241"/>
      <c r="G10" s="242"/>
      <c r="H10" s="152"/>
    </row>
    <row r="11" spans="1:8" s="43" customFormat="1" ht="15" thickBot="1" x14ac:dyDescent="0.35">
      <c r="B11" s="44"/>
      <c r="C11" s="47"/>
      <c r="D11" s="128" t="str">
        <f t="shared" si="0"/>
        <v/>
      </c>
      <c r="E11" s="48"/>
      <c r="F11" s="243"/>
      <c r="G11" s="244"/>
      <c r="H11" s="152"/>
    </row>
    <row r="12" spans="1:8" s="43" customFormat="1" ht="15" thickBot="1" x14ac:dyDescent="0.35">
      <c r="B12" s="86" t="s">
        <v>68</v>
      </c>
      <c r="C12" s="67">
        <f>SUM(C4:C11)</f>
        <v>0</v>
      </c>
      <c r="D12" s="86" t="str">
        <f xml:space="preserve"> setValueToTime(C12)</f>
        <v/>
      </c>
      <c r="E12" s="95"/>
      <c r="F12" s="235"/>
      <c r="G12" s="236"/>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2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22"/>
  <sheetViews>
    <sheetView showGridLines="0" tabSelected="1" zoomScaleNormal="100" zoomScaleSheetLayoutView="98" workbookViewId="0">
      <pane ySplit="1" topLeftCell="A2" activePane="bottomLeft" state="frozen"/>
      <selection pane="bottomLeft" activeCell="E6" sqref="E6"/>
    </sheetView>
  </sheetViews>
  <sheetFormatPr baseColWidth="10" defaultColWidth="11.42578125" defaultRowHeight="14.25" x14ac:dyDescent="0.3"/>
  <cols>
    <col min="1" max="1" width="2.5703125" style="50" customWidth="1"/>
    <col min="2" max="2" width="21.42578125" style="49" customWidth="1"/>
    <col min="3" max="3" width="8.8554687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27</v>
      </c>
      <c r="D2" s="137"/>
      <c r="E2" s="130" t="s">
        <v>62</v>
      </c>
      <c r="F2" s="131">
        <v>45810</v>
      </c>
      <c r="G2" s="132" t="s">
        <v>80</v>
      </c>
      <c r="H2" s="151"/>
    </row>
    <row r="3" spans="2:8" s="39" customFormat="1" ht="30" customHeight="1" thickBot="1" x14ac:dyDescent="0.3">
      <c r="B3" s="61" t="s">
        <v>63</v>
      </c>
      <c r="C3" s="134" t="s">
        <v>64</v>
      </c>
      <c r="D3" s="133"/>
      <c r="E3" s="61" t="s">
        <v>65</v>
      </c>
      <c r="F3" s="247" t="s">
        <v>66</v>
      </c>
      <c r="G3" s="248"/>
      <c r="H3" s="151"/>
    </row>
    <row r="4" spans="2:8" s="43" customFormat="1" ht="81" x14ac:dyDescent="0.3">
      <c r="B4" s="40" t="s">
        <v>104</v>
      </c>
      <c r="C4" s="41">
        <v>2</v>
      </c>
      <c r="D4" s="125" t="str">
        <f xml:space="preserve"> IF(C4="","",setValueToTime(C4))</f>
        <v xml:space="preserve"> 10 min</v>
      </c>
      <c r="E4" s="42" t="s">
        <v>172</v>
      </c>
      <c r="F4" s="239"/>
      <c r="G4" s="240"/>
      <c r="H4" s="152"/>
    </row>
    <row r="5" spans="2:8" s="43" customFormat="1" x14ac:dyDescent="0.3">
      <c r="B5" s="44" t="s">
        <v>58</v>
      </c>
      <c r="C5" s="45">
        <v>34</v>
      </c>
      <c r="D5" s="126" t="str">
        <f t="shared" ref="D5" si="0" xml:space="preserve"> IF(C5="","",setValueToTime(C5))</f>
        <v>2h 50 min</v>
      </c>
      <c r="E5" s="171" t="s">
        <v>173</v>
      </c>
      <c r="F5" s="249" t="s">
        <v>112</v>
      </c>
      <c r="G5" s="250"/>
      <c r="H5" s="152"/>
    </row>
    <row r="6" spans="2:8" s="43" customFormat="1" ht="41.25" thickBot="1" x14ac:dyDescent="0.35">
      <c r="B6" s="45" t="s">
        <v>95</v>
      </c>
      <c r="C6" s="45">
        <v>2</v>
      </c>
      <c r="D6" s="126" t="str">
        <f t="shared" ref="D6" si="1" xml:space="preserve"> IF(C6="","",setValueToTime(C6))</f>
        <v xml:space="preserve"> 10 min</v>
      </c>
      <c r="E6" s="46" t="s">
        <v>176</v>
      </c>
      <c r="F6" s="241"/>
      <c r="G6" s="242"/>
      <c r="H6" s="152"/>
    </row>
    <row r="7" spans="2:8" s="43" customFormat="1" ht="15" thickBot="1" x14ac:dyDescent="0.35">
      <c r="B7" s="135" t="s">
        <v>68</v>
      </c>
      <c r="C7" s="66">
        <f>SUM(C4:C6)</f>
        <v>38</v>
      </c>
      <c r="D7" s="135" t="str">
        <f xml:space="preserve"> setValueToTime(C7)</f>
        <v>3h 10 min</v>
      </c>
      <c r="E7" s="96"/>
      <c r="F7" s="245"/>
      <c r="G7" s="246"/>
      <c r="H7" s="152"/>
    </row>
    <row r="8" spans="2:8" s="43" customFormat="1" ht="15" thickBot="1" x14ac:dyDescent="0.35">
      <c r="B8" s="60"/>
      <c r="C8" s="60"/>
      <c r="D8" s="60"/>
      <c r="E8" s="60"/>
      <c r="F8" s="60"/>
      <c r="G8" s="60"/>
      <c r="H8" s="152"/>
    </row>
    <row r="9" spans="2:8" s="39" customFormat="1" ht="30" customHeight="1" thickBot="1" x14ac:dyDescent="0.3">
      <c r="B9" s="129" t="s">
        <v>61</v>
      </c>
      <c r="C9" s="137">
        <v>26</v>
      </c>
      <c r="D9" s="137"/>
      <c r="E9" s="130" t="s">
        <v>62</v>
      </c>
      <c r="F9" s="131">
        <v>45805</v>
      </c>
      <c r="G9" s="132" t="s">
        <v>90</v>
      </c>
      <c r="H9" s="151"/>
    </row>
    <row r="10" spans="2:8" s="39" customFormat="1" ht="30" customHeight="1" thickBot="1" x14ac:dyDescent="0.3">
      <c r="B10" s="61" t="s">
        <v>63</v>
      </c>
      <c r="C10" s="134" t="s">
        <v>64</v>
      </c>
      <c r="D10" s="133"/>
      <c r="E10" s="61" t="s">
        <v>65</v>
      </c>
      <c r="F10" s="247" t="s">
        <v>66</v>
      </c>
      <c r="G10" s="248"/>
      <c r="H10" s="151"/>
    </row>
    <row r="11" spans="2:8" s="43" customFormat="1" x14ac:dyDescent="0.3">
      <c r="B11" s="44" t="s">
        <v>58</v>
      </c>
      <c r="C11" s="45">
        <v>34</v>
      </c>
      <c r="D11" s="126" t="str">
        <f t="shared" ref="D11" si="2" xml:space="preserve"> IF(C11="","",setValueToTime(C11))</f>
        <v>2h 50 min</v>
      </c>
      <c r="E11" s="171" t="s">
        <v>170</v>
      </c>
      <c r="F11" s="249" t="s">
        <v>112</v>
      </c>
      <c r="G11" s="250"/>
      <c r="H11" s="152"/>
    </row>
    <row r="12" spans="2:8" s="43" customFormat="1" ht="54" x14ac:dyDescent="0.3">
      <c r="B12" s="44" t="s">
        <v>76</v>
      </c>
      <c r="C12" s="45">
        <v>1</v>
      </c>
      <c r="D12" s="126" t="str">
        <f xml:space="preserve"> IF(C12="","",setValueToTime(C12))</f>
        <v xml:space="preserve"> 5 min</v>
      </c>
      <c r="E12" s="46" t="s">
        <v>136</v>
      </c>
      <c r="F12" s="251" t="s">
        <v>158</v>
      </c>
      <c r="G12" s="252"/>
      <c r="H12" s="152"/>
    </row>
    <row r="13" spans="2:8" s="43" customFormat="1" x14ac:dyDescent="0.3">
      <c r="B13" s="44" t="s">
        <v>58</v>
      </c>
      <c r="C13" s="45">
        <v>1</v>
      </c>
      <c r="D13" s="127" t="str">
        <f xml:space="preserve"> IF(C13="","",setValueToTime(C13))</f>
        <v xml:space="preserve"> 5 min</v>
      </c>
      <c r="E13" s="171" t="s">
        <v>137</v>
      </c>
      <c r="F13" s="251" t="s">
        <v>116</v>
      </c>
      <c r="G13" s="252"/>
      <c r="H13" s="152"/>
    </row>
    <row r="14" spans="2:8" s="43" customFormat="1" ht="41.25" thickBot="1" x14ac:dyDescent="0.35">
      <c r="B14" s="45" t="s">
        <v>95</v>
      </c>
      <c r="C14" s="45">
        <v>2</v>
      </c>
      <c r="D14" s="127" t="str">
        <f xml:space="preserve"> IF(C14="","",setValueToTime(C14))</f>
        <v xml:space="preserve"> 10 min</v>
      </c>
      <c r="E14" s="171" t="s">
        <v>96</v>
      </c>
      <c r="F14" s="251" t="s">
        <v>115</v>
      </c>
      <c r="G14" s="252"/>
      <c r="H14" s="152"/>
    </row>
    <row r="15" spans="2:8" s="43" customFormat="1" ht="15" thickBot="1" x14ac:dyDescent="0.35">
      <c r="B15" s="135" t="s">
        <v>68</v>
      </c>
      <c r="C15" s="66">
        <f>SUM(C11:C14)</f>
        <v>38</v>
      </c>
      <c r="D15" s="135" t="str">
        <f xml:space="preserve"> setValueToTime(C15)</f>
        <v>3h 10 min</v>
      </c>
      <c r="E15" s="96"/>
      <c r="F15" s="245"/>
      <c r="G15" s="246"/>
      <c r="H15" s="152"/>
    </row>
    <row r="16" spans="2:8" s="43" customFormat="1" ht="15" thickBot="1" x14ac:dyDescent="0.35">
      <c r="B16" s="60"/>
      <c r="C16" s="60"/>
      <c r="D16" s="60"/>
      <c r="E16" s="60"/>
      <c r="F16" s="60"/>
      <c r="G16" s="60"/>
      <c r="H16" s="152"/>
    </row>
    <row r="17" spans="2:8" s="39" customFormat="1" ht="30" customHeight="1" thickBot="1" x14ac:dyDescent="0.3">
      <c r="B17" s="129" t="s">
        <v>61</v>
      </c>
      <c r="C17" s="137">
        <v>25</v>
      </c>
      <c r="D17" s="137"/>
      <c r="E17" s="130" t="s">
        <v>62</v>
      </c>
      <c r="F17" s="131">
        <v>45805</v>
      </c>
      <c r="G17" s="132" t="s">
        <v>80</v>
      </c>
      <c r="H17" s="151"/>
    </row>
    <row r="18" spans="2:8" s="39" customFormat="1" ht="30" customHeight="1" thickBot="1" x14ac:dyDescent="0.3">
      <c r="B18" s="61" t="s">
        <v>63</v>
      </c>
      <c r="C18" s="134" t="s">
        <v>64</v>
      </c>
      <c r="D18" s="133"/>
      <c r="E18" s="61" t="s">
        <v>65</v>
      </c>
      <c r="F18" s="247" t="s">
        <v>66</v>
      </c>
      <c r="G18" s="248"/>
      <c r="H18" s="151"/>
    </row>
    <row r="19" spans="2:8" s="43" customFormat="1" ht="81" x14ac:dyDescent="0.3">
      <c r="B19" s="40" t="s">
        <v>104</v>
      </c>
      <c r="C19" s="41">
        <v>2</v>
      </c>
      <c r="D19" s="125" t="str">
        <f xml:space="preserve"> IF(C19="","",setValueToTime(C19))</f>
        <v xml:space="preserve"> 10 min</v>
      </c>
      <c r="E19" s="42" t="s">
        <v>168</v>
      </c>
      <c r="F19" s="239"/>
      <c r="G19" s="240"/>
      <c r="H19" s="152"/>
    </row>
    <row r="20" spans="2:8" s="43" customFormat="1" x14ac:dyDescent="0.3">
      <c r="B20" s="44" t="s">
        <v>58</v>
      </c>
      <c r="C20" s="45">
        <v>14</v>
      </c>
      <c r="D20" s="126" t="str">
        <f t="shared" ref="D20" si="3" xml:space="preserve"> IF(C20="","",setValueToTime(C20))</f>
        <v>1h 10 min</v>
      </c>
      <c r="E20" s="46" t="s">
        <v>169</v>
      </c>
      <c r="F20" s="249" t="s">
        <v>112</v>
      </c>
      <c r="G20" s="250"/>
      <c r="H20" s="152"/>
    </row>
    <row r="21" spans="2:8" s="43" customFormat="1" ht="15" thickBot="1" x14ac:dyDescent="0.35">
      <c r="B21" s="44" t="s">
        <v>58</v>
      </c>
      <c r="C21" s="45">
        <v>32</v>
      </c>
      <c r="D21" s="126" t="str">
        <f t="shared" ref="D21" si="4" xml:space="preserve"> IF(C21="","",setValueToTime(C21))</f>
        <v>2h 40 min</v>
      </c>
      <c r="E21" s="171" t="s">
        <v>170</v>
      </c>
      <c r="F21" s="249" t="s">
        <v>112</v>
      </c>
      <c r="G21" s="250"/>
      <c r="H21" s="152"/>
    </row>
    <row r="22" spans="2:8" s="43" customFormat="1" ht="15" thickBot="1" x14ac:dyDescent="0.35">
      <c r="B22" s="135" t="s">
        <v>68</v>
      </c>
      <c r="C22" s="66">
        <f>SUM(C19:C21)</f>
        <v>48</v>
      </c>
      <c r="D22" s="135" t="str">
        <f xml:space="preserve"> setValueToTime(C22)</f>
        <v>4h</v>
      </c>
      <c r="E22" s="96"/>
      <c r="F22" s="245"/>
      <c r="G22" s="246"/>
      <c r="H22" s="152"/>
    </row>
    <row r="23" spans="2:8" s="43" customFormat="1" ht="15" thickBot="1" x14ac:dyDescent="0.35">
      <c r="B23" s="60"/>
      <c r="C23" s="60"/>
      <c r="D23" s="60"/>
      <c r="E23" s="60"/>
      <c r="F23" s="60"/>
      <c r="G23" s="60"/>
      <c r="H23" s="152"/>
    </row>
    <row r="24" spans="2:8" s="39" customFormat="1" ht="30" customHeight="1" thickBot="1" x14ac:dyDescent="0.3">
      <c r="B24" s="129" t="s">
        <v>61</v>
      </c>
      <c r="C24" s="137">
        <v>24</v>
      </c>
      <c r="D24" s="137"/>
      <c r="E24" s="130" t="s">
        <v>62</v>
      </c>
      <c r="F24" s="131">
        <v>45803</v>
      </c>
      <c r="G24" s="132" t="s">
        <v>80</v>
      </c>
      <c r="H24" s="151"/>
    </row>
    <row r="25" spans="2:8" s="39" customFormat="1" ht="30" customHeight="1" thickBot="1" x14ac:dyDescent="0.3">
      <c r="B25" s="61" t="s">
        <v>63</v>
      </c>
      <c r="C25" s="134" t="s">
        <v>64</v>
      </c>
      <c r="D25" s="133"/>
      <c r="E25" s="61" t="s">
        <v>65</v>
      </c>
      <c r="F25" s="247" t="s">
        <v>66</v>
      </c>
      <c r="G25" s="248"/>
      <c r="H25" s="151"/>
    </row>
    <row r="26" spans="2:8" s="43" customFormat="1" ht="54" x14ac:dyDescent="0.3">
      <c r="B26" s="40" t="s">
        <v>104</v>
      </c>
      <c r="C26" s="41">
        <v>2</v>
      </c>
      <c r="D26" s="125" t="str">
        <f xml:space="preserve"> IF(C26="","",setValueToTime(C26))</f>
        <v xml:space="preserve"> 10 min</v>
      </c>
      <c r="E26" s="42" t="s">
        <v>167</v>
      </c>
      <c r="F26" s="239"/>
      <c r="G26" s="240"/>
      <c r="H26" s="152"/>
    </row>
    <row r="27" spans="2:8" s="43" customFormat="1" ht="27" x14ac:dyDescent="0.3">
      <c r="B27" s="44" t="s">
        <v>58</v>
      </c>
      <c r="C27" s="45">
        <v>35</v>
      </c>
      <c r="D27" s="126" t="str">
        <f t="shared" ref="D27" si="5" xml:space="preserve"> IF(C27="","",setValueToTime(C27))</f>
        <v>2h 55 min</v>
      </c>
      <c r="E27" s="46" t="s">
        <v>166</v>
      </c>
      <c r="F27" s="249" t="s">
        <v>112</v>
      </c>
      <c r="G27" s="250"/>
      <c r="H27" s="152"/>
    </row>
    <row r="28" spans="2:8" s="43" customFormat="1" ht="27.75" thickBot="1" x14ac:dyDescent="0.35">
      <c r="B28" s="44" t="s">
        <v>57</v>
      </c>
      <c r="C28" s="45">
        <v>1</v>
      </c>
      <c r="D28" s="126" t="str">
        <f t="shared" ref="D28" si="6" xml:space="preserve"> IF(C28="","",setValueToTime(C28))</f>
        <v xml:space="preserve"> 5 min</v>
      </c>
      <c r="E28" s="46"/>
      <c r="F28" s="241"/>
      <c r="G28" s="242"/>
      <c r="H28" s="152"/>
    </row>
    <row r="29" spans="2:8" s="43" customFormat="1" ht="15" thickBot="1" x14ac:dyDescent="0.35">
      <c r="B29" s="135" t="s">
        <v>68</v>
      </c>
      <c r="C29" s="66">
        <f>SUM(C26:C28)</f>
        <v>38</v>
      </c>
      <c r="D29" s="135" t="str">
        <f xml:space="preserve"> setValueToTime(C29)</f>
        <v>3h 10 min</v>
      </c>
      <c r="E29" s="96"/>
      <c r="F29" s="245"/>
      <c r="G29" s="246"/>
      <c r="H29" s="152"/>
    </row>
    <row r="30" spans="2:8" s="43" customFormat="1" ht="15" thickBot="1" x14ac:dyDescent="0.35">
      <c r="B30" s="60"/>
      <c r="C30" s="60"/>
      <c r="D30" s="60"/>
      <c r="E30" s="60"/>
      <c r="F30" s="60"/>
      <c r="G30" s="60"/>
      <c r="H30" s="152"/>
    </row>
    <row r="31" spans="2:8" s="39" customFormat="1" ht="30" customHeight="1" thickBot="1" x14ac:dyDescent="0.3">
      <c r="B31" s="129" t="s">
        <v>61</v>
      </c>
      <c r="C31" s="137">
        <v>23</v>
      </c>
      <c r="D31" s="137"/>
      <c r="E31" s="130" t="s">
        <v>62</v>
      </c>
      <c r="F31" s="131">
        <v>45800</v>
      </c>
      <c r="G31" s="132" t="s">
        <v>90</v>
      </c>
      <c r="H31" s="151"/>
    </row>
    <row r="32" spans="2:8" s="39" customFormat="1" ht="30" customHeight="1" thickBot="1" x14ac:dyDescent="0.3">
      <c r="B32" s="61" t="s">
        <v>63</v>
      </c>
      <c r="C32" s="134" t="s">
        <v>64</v>
      </c>
      <c r="D32" s="133"/>
      <c r="E32" s="61" t="s">
        <v>65</v>
      </c>
      <c r="F32" s="247" t="s">
        <v>66</v>
      </c>
      <c r="G32" s="248"/>
      <c r="H32" s="151"/>
    </row>
    <row r="33" spans="2:8" s="43" customFormat="1" ht="27" x14ac:dyDescent="0.3">
      <c r="B33" s="44" t="s">
        <v>58</v>
      </c>
      <c r="C33" s="45">
        <v>35</v>
      </c>
      <c r="D33" s="126" t="str">
        <f t="shared" ref="D33" si="7" xml:space="preserve"> IF(C33="","",setValueToTime(C33))</f>
        <v>2h 55 min</v>
      </c>
      <c r="E33" s="46" t="s">
        <v>166</v>
      </c>
      <c r="F33" s="249" t="s">
        <v>112</v>
      </c>
      <c r="G33" s="250"/>
      <c r="H33" s="152"/>
    </row>
    <row r="34" spans="2:8" s="43" customFormat="1" x14ac:dyDescent="0.3">
      <c r="B34" s="44" t="s">
        <v>58</v>
      </c>
      <c r="C34" s="45">
        <v>1</v>
      </c>
      <c r="D34" s="127" t="str">
        <f t="shared" ref="D34:D35" si="8" xml:space="preserve"> IF(C34="","",setValueToTime(C34))</f>
        <v xml:space="preserve"> 5 min</v>
      </c>
      <c r="E34" s="171" t="s">
        <v>137</v>
      </c>
      <c r="F34" s="251" t="s">
        <v>116</v>
      </c>
      <c r="G34" s="252"/>
      <c r="H34" s="152"/>
    </row>
    <row r="35" spans="2:8" s="43" customFormat="1" ht="41.25" thickBot="1" x14ac:dyDescent="0.35">
      <c r="B35" s="45" t="s">
        <v>95</v>
      </c>
      <c r="C35" s="45">
        <v>2</v>
      </c>
      <c r="D35" s="127" t="str">
        <f t="shared" si="8"/>
        <v xml:space="preserve"> 10 min</v>
      </c>
      <c r="E35" s="171" t="s">
        <v>96</v>
      </c>
      <c r="F35" s="251" t="s">
        <v>115</v>
      </c>
      <c r="G35" s="252"/>
      <c r="H35" s="152"/>
    </row>
    <row r="36" spans="2:8" s="43" customFormat="1" ht="15" thickBot="1" x14ac:dyDescent="0.35">
      <c r="B36" s="135" t="s">
        <v>68</v>
      </c>
      <c r="C36" s="66">
        <f>SUM(C33:C35)</f>
        <v>38</v>
      </c>
      <c r="D36" s="135" t="str">
        <f xml:space="preserve"> setValueToTime(C36)</f>
        <v>3h 10 min</v>
      </c>
      <c r="E36" s="96"/>
      <c r="F36" s="245"/>
      <c r="G36" s="246"/>
      <c r="H36" s="152"/>
    </row>
    <row r="37" spans="2:8" s="43" customFormat="1" ht="15" thickBot="1" x14ac:dyDescent="0.35">
      <c r="B37" s="60"/>
      <c r="C37" s="60"/>
      <c r="D37" s="60"/>
      <c r="E37" s="60"/>
      <c r="F37" s="60"/>
      <c r="G37" s="60"/>
      <c r="H37" s="152"/>
    </row>
    <row r="38" spans="2:8" s="39" customFormat="1" ht="30" customHeight="1" thickBot="1" x14ac:dyDescent="0.3">
      <c r="B38" s="129" t="s">
        <v>61</v>
      </c>
      <c r="C38" s="137">
        <v>22</v>
      </c>
      <c r="D38" s="137"/>
      <c r="E38" s="130" t="s">
        <v>62</v>
      </c>
      <c r="F38" s="131">
        <v>45800</v>
      </c>
      <c r="G38" s="132" t="s">
        <v>80</v>
      </c>
      <c r="H38" s="151"/>
    </row>
    <row r="39" spans="2:8" s="39" customFormat="1" ht="30" customHeight="1" thickBot="1" x14ac:dyDescent="0.3">
      <c r="B39" s="61" t="s">
        <v>63</v>
      </c>
      <c r="C39" s="134" t="s">
        <v>64</v>
      </c>
      <c r="D39" s="133"/>
      <c r="E39" s="61" t="s">
        <v>65</v>
      </c>
      <c r="F39" s="247" t="s">
        <v>66</v>
      </c>
      <c r="G39" s="248"/>
      <c r="H39" s="151"/>
    </row>
    <row r="40" spans="2:8" s="43" customFormat="1" ht="81" x14ac:dyDescent="0.3">
      <c r="B40" s="40" t="s">
        <v>104</v>
      </c>
      <c r="C40" s="41">
        <v>2</v>
      </c>
      <c r="D40" s="125" t="str">
        <f xml:space="preserve"> IF(C40="","",setValueToTime(C40))</f>
        <v xml:space="preserve"> 10 min</v>
      </c>
      <c r="E40" s="42" t="s">
        <v>163</v>
      </c>
      <c r="F40" s="239"/>
      <c r="G40" s="240"/>
      <c r="H40" s="152"/>
    </row>
    <row r="41" spans="2:8" s="43" customFormat="1" ht="27" x14ac:dyDescent="0.3">
      <c r="B41" s="45" t="s">
        <v>77</v>
      </c>
      <c r="C41" s="45">
        <v>4</v>
      </c>
      <c r="D41" s="127" t="str">
        <f t="shared" ref="D41" si="9" xml:space="preserve"> IF(C41="","",setValueToTime(C41))</f>
        <v xml:space="preserve"> 20 min</v>
      </c>
      <c r="E41" s="46" t="s">
        <v>162</v>
      </c>
      <c r="F41" s="241"/>
      <c r="G41" s="242"/>
      <c r="H41" s="152"/>
    </row>
    <row r="42" spans="2:8" s="43" customFormat="1" ht="27" x14ac:dyDescent="0.3">
      <c r="B42" s="44" t="s">
        <v>71</v>
      </c>
      <c r="C42" s="45">
        <v>18</v>
      </c>
      <c r="D42" s="126" t="str">
        <f t="shared" ref="D42:D43" si="10" xml:space="preserve"> IF(C42="","",setValueToTime(C42))</f>
        <v>1h 30 min</v>
      </c>
      <c r="E42" s="46" t="s">
        <v>164</v>
      </c>
      <c r="F42" s="241"/>
      <c r="G42" s="242"/>
      <c r="H42" s="152"/>
    </row>
    <row r="43" spans="2:8" s="43" customFormat="1" ht="15" thickBot="1" x14ac:dyDescent="0.35">
      <c r="B43" s="44" t="s">
        <v>58</v>
      </c>
      <c r="C43" s="45">
        <v>24</v>
      </c>
      <c r="D43" s="126" t="str">
        <f t="shared" si="10"/>
        <v>2h</v>
      </c>
      <c r="E43" s="46" t="s">
        <v>165</v>
      </c>
      <c r="F43" s="249" t="s">
        <v>112</v>
      </c>
      <c r="G43" s="250"/>
      <c r="H43" s="152"/>
    </row>
    <row r="44" spans="2:8" s="43" customFormat="1" ht="15" thickBot="1" x14ac:dyDescent="0.35">
      <c r="B44" s="135" t="s">
        <v>68</v>
      </c>
      <c r="C44" s="66">
        <f>SUM(C40:C43)</f>
        <v>48</v>
      </c>
      <c r="D44" s="135" t="str">
        <f xml:space="preserve"> setValueToTime(C44)</f>
        <v>4h</v>
      </c>
      <c r="E44" s="96"/>
      <c r="F44" s="245"/>
      <c r="G44" s="246"/>
      <c r="H44" s="152"/>
    </row>
    <row r="45" spans="2:8" s="43" customFormat="1" ht="15" thickBot="1" x14ac:dyDescent="0.35">
      <c r="B45" s="60"/>
      <c r="C45" s="60"/>
      <c r="D45" s="60"/>
      <c r="E45" s="60"/>
      <c r="F45" s="60"/>
      <c r="G45" s="60"/>
      <c r="H45" s="152"/>
    </row>
    <row r="46" spans="2:8" s="39" customFormat="1" ht="30" customHeight="1" thickBot="1" x14ac:dyDescent="0.3">
      <c r="B46" s="129" t="s">
        <v>61</v>
      </c>
      <c r="C46" s="137">
        <v>21</v>
      </c>
      <c r="D46" s="137"/>
      <c r="E46" s="130" t="s">
        <v>62</v>
      </c>
      <c r="F46" s="131">
        <v>45799</v>
      </c>
      <c r="G46" s="132" t="s">
        <v>90</v>
      </c>
      <c r="H46" s="151"/>
    </row>
    <row r="47" spans="2:8" s="39" customFormat="1" ht="30" customHeight="1" thickBot="1" x14ac:dyDescent="0.3">
      <c r="B47" s="61" t="s">
        <v>63</v>
      </c>
      <c r="C47" s="134" t="s">
        <v>64</v>
      </c>
      <c r="D47" s="133"/>
      <c r="E47" s="61" t="s">
        <v>65</v>
      </c>
      <c r="F47" s="247" t="s">
        <v>66</v>
      </c>
      <c r="G47" s="248"/>
      <c r="H47" s="151"/>
    </row>
    <row r="48" spans="2:8" s="43" customFormat="1" ht="54" x14ac:dyDescent="0.3">
      <c r="B48" s="40" t="s">
        <v>104</v>
      </c>
      <c r="C48" s="41">
        <v>2</v>
      </c>
      <c r="D48" s="125" t="str">
        <f xml:space="preserve"> IF(C48="","",setValueToTime(C48))</f>
        <v xml:space="preserve"> 10 min</v>
      </c>
      <c r="E48" s="42" t="s">
        <v>159</v>
      </c>
      <c r="F48" s="239"/>
      <c r="G48" s="240"/>
      <c r="H48" s="152"/>
    </row>
    <row r="49" spans="2:8" s="43" customFormat="1" ht="27" x14ac:dyDescent="0.3">
      <c r="B49" s="44" t="s">
        <v>58</v>
      </c>
      <c r="C49" s="45">
        <v>30</v>
      </c>
      <c r="D49" s="126" t="str">
        <f t="shared" ref="D49" si="11" xml:space="preserve"> IF(C49="","",setValueToTime(C49))</f>
        <v>2h 30 min</v>
      </c>
      <c r="E49" s="46" t="s">
        <v>160</v>
      </c>
      <c r="F49" s="249" t="s">
        <v>112</v>
      </c>
      <c r="G49" s="250"/>
      <c r="H49" s="152"/>
    </row>
    <row r="50" spans="2:8" s="43" customFormat="1" ht="27" x14ac:dyDescent="0.3">
      <c r="B50" s="44" t="s">
        <v>58</v>
      </c>
      <c r="C50" s="45">
        <v>5</v>
      </c>
      <c r="D50" s="126" t="str">
        <f t="shared" ref="D50" si="12" xml:space="preserve"> IF(C50="","",setValueToTime(C50))</f>
        <v xml:space="preserve"> 25 min</v>
      </c>
      <c r="E50" s="46" t="s">
        <v>161</v>
      </c>
      <c r="F50" s="241"/>
      <c r="G50" s="242"/>
      <c r="H50" s="152"/>
    </row>
    <row r="51" spans="2:8" s="43" customFormat="1" ht="27.75" thickBot="1" x14ac:dyDescent="0.35">
      <c r="B51" s="44" t="s">
        <v>57</v>
      </c>
      <c r="C51" s="45">
        <v>1</v>
      </c>
      <c r="D51" s="126" t="str">
        <f xml:space="preserve"> IF(C51="","",setValueToTime(C51))</f>
        <v xml:space="preserve"> 5 min</v>
      </c>
      <c r="E51" s="48"/>
      <c r="F51" s="243"/>
      <c r="G51" s="244"/>
      <c r="H51" s="152"/>
    </row>
    <row r="52" spans="2:8" s="43" customFormat="1" ht="15" thickBot="1" x14ac:dyDescent="0.35">
      <c r="B52" s="135" t="s">
        <v>68</v>
      </c>
      <c r="C52" s="66">
        <f>SUM(C48:C51)</f>
        <v>38</v>
      </c>
      <c r="D52" s="135" t="str">
        <f xml:space="preserve"> setValueToTime(C52)</f>
        <v>3h 10 min</v>
      </c>
      <c r="E52" s="96"/>
      <c r="F52" s="245"/>
      <c r="G52" s="246"/>
      <c r="H52" s="152"/>
    </row>
    <row r="53" spans="2:8" s="43" customFormat="1" ht="15" thickBot="1" x14ac:dyDescent="0.35">
      <c r="B53" s="60"/>
      <c r="C53" s="60"/>
      <c r="D53" s="60"/>
      <c r="E53" s="60"/>
      <c r="F53" s="60"/>
      <c r="G53" s="60"/>
      <c r="H53" s="152"/>
    </row>
    <row r="54" spans="2:8" s="39" customFormat="1" ht="30" customHeight="1" thickBot="1" x14ac:dyDescent="0.3">
      <c r="B54" s="129" t="s">
        <v>61</v>
      </c>
      <c r="C54" s="137">
        <v>20</v>
      </c>
      <c r="D54" s="137"/>
      <c r="E54" s="130" t="s">
        <v>62</v>
      </c>
      <c r="F54" s="131">
        <v>45798</v>
      </c>
      <c r="G54" s="132" t="s">
        <v>90</v>
      </c>
      <c r="H54" s="151"/>
    </row>
    <row r="55" spans="2:8" s="39" customFormat="1" ht="30" customHeight="1" thickBot="1" x14ac:dyDescent="0.3">
      <c r="B55" s="61" t="s">
        <v>63</v>
      </c>
      <c r="C55" s="134" t="s">
        <v>64</v>
      </c>
      <c r="D55" s="133"/>
      <c r="E55" s="61" t="s">
        <v>65</v>
      </c>
      <c r="F55" s="247" t="s">
        <v>66</v>
      </c>
      <c r="G55" s="248"/>
      <c r="H55" s="151"/>
    </row>
    <row r="56" spans="2:8" s="43" customFormat="1" ht="27" x14ac:dyDescent="0.3">
      <c r="B56" s="45" t="s">
        <v>77</v>
      </c>
      <c r="C56" s="45">
        <v>19</v>
      </c>
      <c r="D56" s="127" t="str">
        <f t="shared" ref="D56" si="13" xml:space="preserve"> IF(C56="","",setValueToTime(C56))</f>
        <v>1h 35 min</v>
      </c>
      <c r="E56" s="46" t="s">
        <v>156</v>
      </c>
      <c r="F56" s="253"/>
      <c r="G56" s="254"/>
      <c r="H56" s="152"/>
    </row>
    <row r="57" spans="2:8" s="43" customFormat="1" ht="27" x14ac:dyDescent="0.3">
      <c r="B57" s="44" t="s">
        <v>75</v>
      </c>
      <c r="C57" s="45">
        <v>10</v>
      </c>
      <c r="D57" s="126" t="str">
        <f t="shared" ref="D57:D61" si="14" xml:space="preserve"> IF(C57="","",setValueToTime(C57))</f>
        <v xml:space="preserve"> 50 min</v>
      </c>
      <c r="E57" s="46" t="s">
        <v>157</v>
      </c>
      <c r="F57" s="255"/>
      <c r="G57" s="252"/>
      <c r="H57" s="152"/>
    </row>
    <row r="58" spans="2:8" s="43" customFormat="1" ht="40.5" x14ac:dyDescent="0.3">
      <c r="B58" s="44" t="s">
        <v>81</v>
      </c>
      <c r="C58" s="45">
        <v>5</v>
      </c>
      <c r="D58" s="126" t="str">
        <f t="shared" si="14"/>
        <v xml:space="preserve"> 25 min</v>
      </c>
      <c r="E58" s="46" t="s">
        <v>155</v>
      </c>
      <c r="F58" s="255"/>
      <c r="G58" s="252"/>
      <c r="H58" s="152"/>
    </row>
    <row r="59" spans="2:8" s="43" customFormat="1" ht="54" x14ac:dyDescent="0.3">
      <c r="B59" s="44" t="s">
        <v>76</v>
      </c>
      <c r="C59" s="45">
        <v>1</v>
      </c>
      <c r="D59" s="126" t="str">
        <f t="shared" si="14"/>
        <v xml:space="preserve"> 5 min</v>
      </c>
      <c r="E59" s="46" t="s">
        <v>136</v>
      </c>
      <c r="F59" s="251" t="s">
        <v>158</v>
      </c>
      <c r="G59" s="252"/>
      <c r="H59" s="152"/>
    </row>
    <row r="60" spans="2:8" s="43" customFormat="1" x14ac:dyDescent="0.3">
      <c r="B60" s="44" t="s">
        <v>58</v>
      </c>
      <c r="C60" s="45">
        <v>1</v>
      </c>
      <c r="D60" s="127" t="str">
        <f t="shared" si="14"/>
        <v xml:space="preserve"> 5 min</v>
      </c>
      <c r="E60" s="171" t="s">
        <v>137</v>
      </c>
      <c r="F60" s="251" t="s">
        <v>116</v>
      </c>
      <c r="G60" s="252"/>
      <c r="H60" s="152"/>
    </row>
    <row r="61" spans="2:8" s="43" customFormat="1" ht="41.25" thickBot="1" x14ac:dyDescent="0.35">
      <c r="B61" s="45" t="s">
        <v>95</v>
      </c>
      <c r="C61" s="45">
        <v>2</v>
      </c>
      <c r="D61" s="127" t="str">
        <f t="shared" si="14"/>
        <v xml:space="preserve"> 10 min</v>
      </c>
      <c r="E61" s="171" t="s">
        <v>96</v>
      </c>
      <c r="F61" s="251" t="s">
        <v>115</v>
      </c>
      <c r="G61" s="252"/>
      <c r="H61" s="152"/>
    </row>
    <row r="62" spans="2:8" s="43" customFormat="1" ht="15" thickBot="1" x14ac:dyDescent="0.35">
      <c r="B62" s="135" t="s">
        <v>68</v>
      </c>
      <c r="C62" s="66">
        <f>SUM(C56:C61)</f>
        <v>38</v>
      </c>
      <c r="D62" s="135" t="str">
        <f xml:space="preserve"> setValueToTime(C62)</f>
        <v>3h 10 min</v>
      </c>
      <c r="E62" s="96"/>
      <c r="F62" s="245"/>
      <c r="G62" s="246"/>
      <c r="H62" s="152"/>
    </row>
    <row r="63" spans="2:8" s="43" customFormat="1" ht="15" thickBot="1" x14ac:dyDescent="0.35">
      <c r="B63" s="60"/>
      <c r="C63" s="60"/>
      <c r="D63" s="60"/>
      <c r="E63" s="60"/>
      <c r="F63" s="60"/>
      <c r="G63" s="60"/>
      <c r="H63" s="152"/>
    </row>
    <row r="64" spans="2:8" s="39" customFormat="1" ht="30" customHeight="1" thickBot="1" x14ac:dyDescent="0.3">
      <c r="B64" s="129" t="s">
        <v>61</v>
      </c>
      <c r="C64" s="137">
        <v>19</v>
      </c>
      <c r="D64" s="137"/>
      <c r="E64" s="130" t="s">
        <v>62</v>
      </c>
      <c r="F64" s="131">
        <v>45798</v>
      </c>
      <c r="G64" s="132" t="s">
        <v>80</v>
      </c>
      <c r="H64" s="151"/>
    </row>
    <row r="65" spans="2:8" s="39" customFormat="1" ht="30" customHeight="1" thickBot="1" x14ac:dyDescent="0.3">
      <c r="B65" s="61" t="s">
        <v>63</v>
      </c>
      <c r="C65" s="134" t="s">
        <v>64</v>
      </c>
      <c r="D65" s="133"/>
      <c r="E65" s="61" t="s">
        <v>65</v>
      </c>
      <c r="F65" s="247" t="s">
        <v>66</v>
      </c>
      <c r="G65" s="248"/>
      <c r="H65" s="151"/>
    </row>
    <row r="66" spans="2:8" s="43" customFormat="1" ht="67.5" x14ac:dyDescent="0.3">
      <c r="B66" s="40" t="s">
        <v>104</v>
      </c>
      <c r="C66" s="41">
        <v>2</v>
      </c>
      <c r="D66" s="125" t="str">
        <f xml:space="preserve"> IF(C66="","",setValueToTime(C66))</f>
        <v xml:space="preserve"> 10 min</v>
      </c>
      <c r="E66" s="42" t="s">
        <v>153</v>
      </c>
      <c r="F66" s="239"/>
      <c r="G66" s="240"/>
      <c r="H66" s="152"/>
    </row>
    <row r="67" spans="2:8" s="43" customFormat="1" ht="41.25" thickBot="1" x14ac:dyDescent="0.35">
      <c r="B67" s="45" t="s">
        <v>77</v>
      </c>
      <c r="C67" s="45">
        <v>46</v>
      </c>
      <c r="D67" s="127" t="str">
        <f t="shared" ref="D67" si="15" xml:space="preserve"> IF(C67="","",setValueToTime(C67))</f>
        <v>3h 50 min</v>
      </c>
      <c r="E67" s="46" t="s">
        <v>154</v>
      </c>
      <c r="F67" s="241"/>
      <c r="G67" s="242"/>
      <c r="H67" s="152"/>
    </row>
    <row r="68" spans="2:8" s="43" customFormat="1" ht="15" thickBot="1" x14ac:dyDescent="0.35">
      <c r="B68" s="135" t="s">
        <v>68</v>
      </c>
      <c r="C68" s="66">
        <f>SUM(C66:C67)</f>
        <v>48</v>
      </c>
      <c r="D68" s="135" t="str">
        <f xml:space="preserve"> setValueToTime(C68)</f>
        <v>4h</v>
      </c>
      <c r="E68" s="96"/>
      <c r="F68" s="245"/>
      <c r="G68" s="246"/>
      <c r="H68" s="152"/>
    </row>
    <row r="69" spans="2:8" s="43" customFormat="1" ht="15" thickBot="1" x14ac:dyDescent="0.35">
      <c r="B69" s="60"/>
      <c r="C69" s="60"/>
      <c r="D69" s="60"/>
      <c r="E69" s="60"/>
      <c r="F69" s="60"/>
      <c r="G69" s="60"/>
      <c r="H69" s="152"/>
    </row>
    <row r="70" spans="2:8" s="39" customFormat="1" ht="30" customHeight="1" thickBot="1" x14ac:dyDescent="0.3">
      <c r="B70" s="129" t="s">
        <v>61</v>
      </c>
      <c r="C70" s="137">
        <v>18</v>
      </c>
      <c r="D70" s="137"/>
      <c r="E70" s="130" t="s">
        <v>62</v>
      </c>
      <c r="F70" s="131">
        <v>45796</v>
      </c>
      <c r="G70" s="132" t="s">
        <v>90</v>
      </c>
      <c r="H70" s="151"/>
    </row>
    <row r="71" spans="2:8" s="39" customFormat="1" ht="30" customHeight="1" thickBot="1" x14ac:dyDescent="0.3">
      <c r="B71" s="61" t="s">
        <v>63</v>
      </c>
      <c r="C71" s="134" t="s">
        <v>64</v>
      </c>
      <c r="D71" s="133"/>
      <c r="E71" s="61" t="s">
        <v>65</v>
      </c>
      <c r="F71" s="247" t="s">
        <v>66</v>
      </c>
      <c r="G71" s="248"/>
      <c r="H71" s="151"/>
    </row>
    <row r="72" spans="2:8" s="43" customFormat="1" ht="27" x14ac:dyDescent="0.3">
      <c r="B72" s="45" t="s">
        <v>77</v>
      </c>
      <c r="C72" s="45">
        <v>24</v>
      </c>
      <c r="D72" s="127" t="str">
        <f t="shared" ref="D72:D73" si="16" xml:space="preserve"> IF(C72="","",setValueToTime(C72))</f>
        <v>2h</v>
      </c>
      <c r="E72" s="46" t="s">
        <v>152</v>
      </c>
      <c r="F72" s="239"/>
      <c r="G72" s="240"/>
      <c r="H72" s="152"/>
    </row>
    <row r="73" spans="2:8" s="43" customFormat="1" x14ac:dyDescent="0.3">
      <c r="B73" s="44" t="s">
        <v>84</v>
      </c>
      <c r="C73" s="45">
        <v>4</v>
      </c>
      <c r="D73" s="126" t="str">
        <f t="shared" si="16"/>
        <v xml:space="preserve"> 20 min</v>
      </c>
      <c r="E73" s="46" t="s">
        <v>149</v>
      </c>
      <c r="F73" s="241"/>
      <c r="G73" s="242"/>
      <c r="H73" s="152"/>
    </row>
    <row r="74" spans="2:8" s="43" customFormat="1" ht="27.75" thickBot="1" x14ac:dyDescent="0.35">
      <c r="B74" s="44" t="s">
        <v>57</v>
      </c>
      <c r="C74" s="45">
        <v>1</v>
      </c>
      <c r="D74" s="126" t="str">
        <f xml:space="preserve"> IF(C74="","",setValueToTime(C74))</f>
        <v xml:space="preserve"> 5 min</v>
      </c>
      <c r="E74" s="48"/>
      <c r="F74" s="243"/>
      <c r="G74" s="244"/>
      <c r="H74" s="152"/>
    </row>
    <row r="75" spans="2:8" s="43" customFormat="1" ht="15" thickBot="1" x14ac:dyDescent="0.35">
      <c r="B75" s="135" t="s">
        <v>68</v>
      </c>
      <c r="C75" s="66">
        <f>SUM(C72:C74)</f>
        <v>29</v>
      </c>
      <c r="D75" s="135" t="str">
        <f xml:space="preserve"> setValueToTime(C75)</f>
        <v>2h 25 min</v>
      </c>
      <c r="E75" s="96"/>
      <c r="F75" s="245"/>
      <c r="G75" s="246"/>
      <c r="H75" s="152"/>
    </row>
    <row r="76" spans="2:8" s="43" customFormat="1" ht="15" thickBot="1" x14ac:dyDescent="0.35">
      <c r="B76" s="60"/>
      <c r="C76" s="60"/>
      <c r="D76" s="60"/>
      <c r="E76" s="60"/>
      <c r="F76" s="60"/>
      <c r="G76" s="60"/>
      <c r="H76" s="152"/>
    </row>
    <row r="77" spans="2:8" s="39" customFormat="1" ht="30" customHeight="1" thickBot="1" x14ac:dyDescent="0.3">
      <c r="B77" s="129" t="s">
        <v>61</v>
      </c>
      <c r="C77" s="137">
        <v>17</v>
      </c>
      <c r="D77" s="137"/>
      <c r="E77" s="130" t="s">
        <v>62</v>
      </c>
      <c r="F77" s="131">
        <v>45796</v>
      </c>
      <c r="G77" s="132" t="s">
        <v>80</v>
      </c>
      <c r="H77" s="151"/>
    </row>
    <row r="78" spans="2:8" s="39" customFormat="1" ht="30" customHeight="1" thickBot="1" x14ac:dyDescent="0.3">
      <c r="B78" s="61" t="s">
        <v>63</v>
      </c>
      <c r="C78" s="134" t="s">
        <v>64</v>
      </c>
      <c r="D78" s="133"/>
      <c r="E78" s="61" t="s">
        <v>65</v>
      </c>
      <c r="F78" s="247" t="s">
        <v>66</v>
      </c>
      <c r="G78" s="248"/>
      <c r="H78" s="151"/>
    </row>
    <row r="79" spans="2:8" s="43" customFormat="1" ht="81" x14ac:dyDescent="0.3">
      <c r="B79" s="40" t="s">
        <v>104</v>
      </c>
      <c r="C79" s="41">
        <v>2</v>
      </c>
      <c r="D79" s="125" t="str">
        <f xml:space="preserve"> IF(C79="","",setValueToTime(C79))</f>
        <v xml:space="preserve"> 10 min</v>
      </c>
      <c r="E79" s="42" t="s">
        <v>148</v>
      </c>
      <c r="F79" s="239"/>
      <c r="G79" s="240"/>
      <c r="H79" s="152"/>
    </row>
    <row r="80" spans="2:8" s="43" customFormat="1" ht="27" x14ac:dyDescent="0.3">
      <c r="B80" s="45" t="s">
        <v>77</v>
      </c>
      <c r="C80" s="45">
        <v>23</v>
      </c>
      <c r="D80" s="127" t="str">
        <f t="shared" ref="D80" si="17" xml:space="preserve"> IF(C80="","",setValueToTime(C80))</f>
        <v>1h 55 min</v>
      </c>
      <c r="E80" s="46" t="s">
        <v>150</v>
      </c>
      <c r="F80" s="241"/>
      <c r="G80" s="242"/>
      <c r="H80" s="152"/>
    </row>
    <row r="81" spans="2:8" s="43" customFormat="1" ht="27" x14ac:dyDescent="0.3">
      <c r="B81" s="45" t="s">
        <v>77</v>
      </c>
      <c r="C81" s="45">
        <v>12</v>
      </c>
      <c r="D81" s="127" t="str">
        <f t="shared" ref="D81:D82" si="18" xml:space="preserve"> IF(C81="","",setValueToTime(C81))</f>
        <v>1h</v>
      </c>
      <c r="E81" s="46" t="s">
        <v>151</v>
      </c>
      <c r="F81" s="241"/>
      <c r="G81" s="242"/>
      <c r="H81" s="152"/>
    </row>
    <row r="82" spans="2:8" s="43" customFormat="1" ht="27.75" thickBot="1" x14ac:dyDescent="0.35">
      <c r="B82" s="44" t="s">
        <v>57</v>
      </c>
      <c r="C82" s="45">
        <v>1</v>
      </c>
      <c r="D82" s="126" t="str">
        <f t="shared" si="18"/>
        <v xml:space="preserve"> 5 min</v>
      </c>
      <c r="E82" s="46"/>
      <c r="F82" s="241"/>
      <c r="G82" s="242"/>
      <c r="H82" s="152"/>
    </row>
    <row r="83" spans="2:8" s="43" customFormat="1" ht="15" thickBot="1" x14ac:dyDescent="0.35">
      <c r="B83" s="135" t="s">
        <v>68</v>
      </c>
      <c r="C83" s="66">
        <f>SUM(C79:C82)</f>
        <v>38</v>
      </c>
      <c r="D83" s="135" t="str">
        <f xml:space="preserve"> setValueToTime(C83)</f>
        <v>3h 10 min</v>
      </c>
      <c r="E83" s="96"/>
      <c r="F83" s="245"/>
      <c r="G83" s="246"/>
      <c r="H83" s="152"/>
    </row>
    <row r="84" spans="2:8" s="43" customFormat="1" ht="15" thickBot="1" x14ac:dyDescent="0.35">
      <c r="B84" s="60"/>
      <c r="C84" s="60"/>
      <c r="D84" s="60"/>
      <c r="E84" s="60"/>
      <c r="F84" s="60"/>
      <c r="G84" s="60"/>
      <c r="H84" s="152"/>
    </row>
    <row r="85" spans="2:8" s="39" customFormat="1" ht="30" customHeight="1" thickBot="1" x14ac:dyDescent="0.3">
      <c r="B85" s="129" t="s">
        <v>61</v>
      </c>
      <c r="C85" s="137">
        <v>16</v>
      </c>
      <c r="D85" s="137"/>
      <c r="E85" s="130" t="s">
        <v>62</v>
      </c>
      <c r="F85" s="131">
        <v>45793</v>
      </c>
      <c r="G85" s="132" t="s">
        <v>90</v>
      </c>
      <c r="H85" s="151"/>
    </row>
    <row r="86" spans="2:8" s="39" customFormat="1" ht="30" customHeight="1" thickBot="1" x14ac:dyDescent="0.3">
      <c r="B86" s="61" t="s">
        <v>63</v>
      </c>
      <c r="C86" s="134" t="s">
        <v>64</v>
      </c>
      <c r="D86" s="133"/>
      <c r="E86" s="61" t="s">
        <v>65</v>
      </c>
      <c r="F86" s="247" t="s">
        <v>66</v>
      </c>
      <c r="G86" s="248"/>
      <c r="H86" s="151"/>
    </row>
    <row r="87" spans="2:8" s="43" customFormat="1" ht="40.5" x14ac:dyDescent="0.3">
      <c r="B87" s="45" t="s">
        <v>77</v>
      </c>
      <c r="C87" s="45">
        <v>20</v>
      </c>
      <c r="D87" s="127" t="str">
        <f t="shared" ref="D87" si="19" xml:space="preserve"> IF(C87="","",setValueToTime(C87))</f>
        <v>1h 40 min</v>
      </c>
      <c r="E87" s="46" t="s">
        <v>145</v>
      </c>
      <c r="F87" s="239"/>
      <c r="G87" s="240"/>
      <c r="H87" s="152"/>
    </row>
    <row r="88" spans="2:8" s="43" customFormat="1" ht="27" x14ac:dyDescent="0.3">
      <c r="B88" s="44" t="s">
        <v>58</v>
      </c>
      <c r="C88" s="45">
        <v>12</v>
      </c>
      <c r="D88" s="126" t="str">
        <f t="shared" ref="D88:D91" si="20" xml:space="preserve"> IF(C88="","",setValueToTime(C88))</f>
        <v>1h</v>
      </c>
      <c r="E88" s="46" t="s">
        <v>147</v>
      </c>
      <c r="F88" s="241"/>
      <c r="G88" s="242"/>
      <c r="H88" s="152"/>
    </row>
    <row r="89" spans="2:8" s="43" customFormat="1" ht="54" x14ac:dyDescent="0.3">
      <c r="B89" s="44" t="s">
        <v>76</v>
      </c>
      <c r="C89" s="45">
        <v>2</v>
      </c>
      <c r="D89" s="126" t="str">
        <f t="shared" si="20"/>
        <v xml:space="preserve"> 10 min</v>
      </c>
      <c r="E89" s="46" t="s">
        <v>136</v>
      </c>
      <c r="F89" s="256" t="s">
        <v>138</v>
      </c>
      <c r="G89" s="242"/>
      <c r="H89" s="152"/>
    </row>
    <row r="90" spans="2:8" s="43" customFormat="1" x14ac:dyDescent="0.3">
      <c r="B90" s="44" t="s">
        <v>58</v>
      </c>
      <c r="C90" s="45">
        <v>1</v>
      </c>
      <c r="D90" s="127" t="str">
        <f t="shared" si="20"/>
        <v xml:space="preserve"> 5 min</v>
      </c>
      <c r="E90" s="171" t="s">
        <v>137</v>
      </c>
      <c r="F90" s="241"/>
      <c r="G90" s="242"/>
      <c r="H90" s="152"/>
    </row>
    <row r="91" spans="2:8" s="43" customFormat="1" ht="41.25" thickBot="1" x14ac:dyDescent="0.35">
      <c r="B91" s="45" t="s">
        <v>95</v>
      </c>
      <c r="C91" s="45">
        <v>3</v>
      </c>
      <c r="D91" s="127" t="str">
        <f t="shared" si="20"/>
        <v xml:space="preserve"> 15 min</v>
      </c>
      <c r="E91" s="171" t="s">
        <v>96</v>
      </c>
      <c r="F91" s="249" t="s">
        <v>115</v>
      </c>
      <c r="G91" s="250"/>
      <c r="H91" s="152"/>
    </row>
    <row r="92" spans="2:8" s="43" customFormat="1" ht="15" thickBot="1" x14ac:dyDescent="0.35">
      <c r="B92" s="135" t="s">
        <v>68</v>
      </c>
      <c r="C92" s="66">
        <f>SUM(C87:C91)</f>
        <v>38</v>
      </c>
      <c r="D92" s="135" t="str">
        <f xml:space="preserve"> setValueToTime(C92)</f>
        <v>3h 10 min</v>
      </c>
      <c r="E92" s="96"/>
      <c r="F92" s="245"/>
      <c r="G92" s="246"/>
      <c r="H92" s="152"/>
    </row>
    <row r="93" spans="2:8" s="43" customFormat="1" ht="15" thickBot="1" x14ac:dyDescent="0.35">
      <c r="B93" s="60"/>
      <c r="C93" s="60"/>
      <c r="D93" s="60"/>
      <c r="E93" s="60"/>
      <c r="F93" s="60"/>
      <c r="G93" s="60"/>
      <c r="H93" s="152"/>
    </row>
    <row r="94" spans="2:8" s="39" customFormat="1" ht="30" customHeight="1" thickBot="1" x14ac:dyDescent="0.3">
      <c r="B94" s="129" t="s">
        <v>61</v>
      </c>
      <c r="C94" s="137">
        <v>15</v>
      </c>
      <c r="D94" s="137"/>
      <c r="E94" s="130" t="s">
        <v>62</v>
      </c>
      <c r="F94" s="131">
        <v>45793</v>
      </c>
      <c r="G94" s="132" t="s">
        <v>80</v>
      </c>
      <c r="H94" s="151"/>
    </row>
    <row r="95" spans="2:8" s="39" customFormat="1" ht="30" customHeight="1" thickBot="1" x14ac:dyDescent="0.3">
      <c r="B95" s="61" t="s">
        <v>63</v>
      </c>
      <c r="C95" s="134" t="s">
        <v>64</v>
      </c>
      <c r="D95" s="133"/>
      <c r="E95" s="61" t="s">
        <v>65</v>
      </c>
      <c r="F95" s="247" t="s">
        <v>66</v>
      </c>
      <c r="G95" s="248"/>
      <c r="H95" s="151"/>
    </row>
    <row r="96" spans="2:8" s="43" customFormat="1" ht="108" x14ac:dyDescent="0.3">
      <c r="B96" s="40" t="s">
        <v>104</v>
      </c>
      <c r="C96" s="41">
        <v>2</v>
      </c>
      <c r="D96" s="125" t="str">
        <f xml:space="preserve"> IF(C96="","",setValueToTime(C96))</f>
        <v xml:space="preserve"> 10 min</v>
      </c>
      <c r="E96" s="42" t="s">
        <v>141</v>
      </c>
      <c r="F96" s="239"/>
      <c r="G96" s="240"/>
      <c r="H96" s="152"/>
    </row>
    <row r="97" spans="2:8" s="43" customFormat="1" ht="54" x14ac:dyDescent="0.3">
      <c r="B97" s="44" t="s">
        <v>75</v>
      </c>
      <c r="C97" s="45">
        <v>3</v>
      </c>
      <c r="D97" s="126" t="str">
        <f t="shared" ref="D97:D100" si="21" xml:space="preserve"> IF(C97="","",setValueToTime(C97))</f>
        <v xml:space="preserve"> 15 min</v>
      </c>
      <c r="E97" s="46" t="s">
        <v>142</v>
      </c>
      <c r="F97" s="241"/>
      <c r="G97" s="242"/>
      <c r="H97" s="152"/>
    </row>
    <row r="98" spans="2:8" s="43" customFormat="1" ht="27" x14ac:dyDescent="0.3">
      <c r="B98" s="44" t="s">
        <v>71</v>
      </c>
      <c r="C98" s="45">
        <v>9</v>
      </c>
      <c r="D98" s="126" t="str">
        <f t="shared" si="21"/>
        <v xml:space="preserve"> 45 min</v>
      </c>
      <c r="E98" s="46" t="s">
        <v>143</v>
      </c>
      <c r="F98" s="241"/>
      <c r="G98" s="242"/>
      <c r="H98" s="152"/>
    </row>
    <row r="99" spans="2:8" s="43" customFormat="1" ht="27" x14ac:dyDescent="0.3">
      <c r="B99" s="44" t="s">
        <v>75</v>
      </c>
      <c r="C99" s="45">
        <v>18</v>
      </c>
      <c r="D99" s="126" t="str">
        <f t="shared" si="21"/>
        <v>1h 30 min</v>
      </c>
      <c r="E99" s="46" t="s">
        <v>144</v>
      </c>
      <c r="F99" s="241"/>
      <c r="G99" s="242"/>
      <c r="H99" s="152"/>
    </row>
    <row r="100" spans="2:8" s="43" customFormat="1" ht="27.75" thickBot="1" x14ac:dyDescent="0.35">
      <c r="B100" s="45" t="s">
        <v>77</v>
      </c>
      <c r="C100" s="45">
        <v>16</v>
      </c>
      <c r="D100" s="127" t="str">
        <f t="shared" si="21"/>
        <v>1h 20 min</v>
      </c>
      <c r="E100" s="46" t="s">
        <v>146</v>
      </c>
      <c r="F100" s="241"/>
      <c r="G100" s="242"/>
      <c r="H100" s="152"/>
    </row>
    <row r="101" spans="2:8" s="43" customFormat="1" ht="15" thickBot="1" x14ac:dyDescent="0.35">
      <c r="B101" s="135" t="s">
        <v>68</v>
      </c>
      <c r="C101" s="66">
        <f>SUM(C96:C100)</f>
        <v>48</v>
      </c>
      <c r="D101" s="135" t="str">
        <f xml:space="preserve"> setValueToTime(C101)</f>
        <v>4h</v>
      </c>
      <c r="E101" s="96"/>
      <c r="F101" s="245"/>
      <c r="G101" s="246"/>
      <c r="H101" s="152"/>
    </row>
    <row r="102" spans="2:8" s="43" customFormat="1" ht="15" thickBot="1" x14ac:dyDescent="0.35">
      <c r="B102" s="60"/>
      <c r="C102" s="60"/>
      <c r="D102" s="60"/>
      <c r="E102" s="60"/>
      <c r="F102" s="60"/>
      <c r="G102" s="60"/>
      <c r="H102" s="152"/>
    </row>
    <row r="103" spans="2:8" s="39" customFormat="1" ht="30" customHeight="1" thickBot="1" x14ac:dyDescent="0.3">
      <c r="B103" s="129" t="s">
        <v>61</v>
      </c>
      <c r="C103" s="137">
        <v>14</v>
      </c>
      <c r="D103" s="137"/>
      <c r="E103" s="130" t="s">
        <v>62</v>
      </c>
      <c r="F103" s="131">
        <v>45792</v>
      </c>
      <c r="G103" s="132" t="s">
        <v>90</v>
      </c>
      <c r="H103" s="151"/>
    </row>
    <row r="104" spans="2:8" s="39" customFormat="1" ht="30" customHeight="1" thickBot="1" x14ac:dyDescent="0.3">
      <c r="B104" s="61" t="s">
        <v>63</v>
      </c>
      <c r="C104" s="134" t="s">
        <v>64</v>
      </c>
      <c r="D104" s="133"/>
      <c r="E104" s="61" t="s">
        <v>65</v>
      </c>
      <c r="F104" s="247" t="s">
        <v>66</v>
      </c>
      <c r="G104" s="248"/>
      <c r="H104" s="151"/>
    </row>
    <row r="105" spans="2:8" s="43" customFormat="1" ht="27" x14ac:dyDescent="0.3">
      <c r="B105" s="40" t="s">
        <v>104</v>
      </c>
      <c r="C105" s="41">
        <v>1</v>
      </c>
      <c r="D105" s="125" t="str">
        <f xml:space="preserve"> IF(C105="","",setValueToTime(C105))</f>
        <v xml:space="preserve"> 5 min</v>
      </c>
      <c r="E105" s="42" t="s">
        <v>105</v>
      </c>
      <c r="F105" s="239"/>
      <c r="G105" s="240"/>
      <c r="H105" s="152"/>
    </row>
    <row r="106" spans="2:8" s="43" customFormat="1" ht="27" x14ac:dyDescent="0.3">
      <c r="B106" s="45" t="s">
        <v>77</v>
      </c>
      <c r="C106" s="45">
        <v>28</v>
      </c>
      <c r="D106" s="126" t="str">
        <f t="shared" ref="D106:D108" si="22" xml:space="preserve"> IF(C106="","",setValueToTime(C106))</f>
        <v>2h 20 min</v>
      </c>
      <c r="E106" s="46" t="s">
        <v>139</v>
      </c>
      <c r="F106" s="241"/>
      <c r="G106" s="242"/>
      <c r="H106" s="152"/>
    </row>
    <row r="107" spans="2:8" s="43" customFormat="1" ht="94.5" x14ac:dyDescent="0.3">
      <c r="B107" s="44" t="s">
        <v>75</v>
      </c>
      <c r="C107" s="45">
        <v>8</v>
      </c>
      <c r="D107" s="126" t="str">
        <f t="shared" si="22"/>
        <v xml:space="preserve"> 40 min</v>
      </c>
      <c r="E107" s="46" t="s">
        <v>140</v>
      </c>
      <c r="F107" s="241"/>
      <c r="G107" s="242"/>
      <c r="H107" s="152"/>
    </row>
    <row r="108" spans="2:8" s="43" customFormat="1" ht="27.75" thickBot="1" x14ac:dyDescent="0.35">
      <c r="B108" s="44" t="s">
        <v>57</v>
      </c>
      <c r="C108" s="45">
        <v>1</v>
      </c>
      <c r="D108" s="126" t="str">
        <f t="shared" si="22"/>
        <v xml:space="preserve"> 5 min</v>
      </c>
      <c r="E108" s="46"/>
      <c r="F108" s="241"/>
      <c r="G108" s="242"/>
      <c r="H108" s="152"/>
    </row>
    <row r="109" spans="2:8" s="43" customFormat="1" ht="15" thickBot="1" x14ac:dyDescent="0.35">
      <c r="B109" s="135" t="s">
        <v>68</v>
      </c>
      <c r="C109" s="66">
        <f>SUM(C105:C108)</f>
        <v>38</v>
      </c>
      <c r="D109" s="135" t="str">
        <f xml:space="preserve"> setValueToTime(C109)</f>
        <v>3h 10 min</v>
      </c>
      <c r="E109" s="96"/>
      <c r="F109" s="245"/>
      <c r="G109" s="246"/>
      <c r="H109" s="152"/>
    </row>
    <row r="110" spans="2:8" s="43" customFormat="1" ht="15" thickBot="1" x14ac:dyDescent="0.35">
      <c r="B110" s="60"/>
      <c r="C110" s="60"/>
      <c r="D110" s="60"/>
      <c r="E110" s="60"/>
      <c r="F110" s="60"/>
      <c r="G110" s="60"/>
      <c r="H110" s="152"/>
    </row>
    <row r="111" spans="2:8" s="39" customFormat="1" ht="30" customHeight="1" thickBot="1" x14ac:dyDescent="0.3">
      <c r="B111" s="129" t="s">
        <v>61</v>
      </c>
      <c r="C111" s="137">
        <v>13</v>
      </c>
      <c r="D111" s="137"/>
      <c r="E111" s="130" t="s">
        <v>62</v>
      </c>
      <c r="F111" s="131">
        <v>45791</v>
      </c>
      <c r="G111" s="132" t="s">
        <v>90</v>
      </c>
      <c r="H111" s="151"/>
    </row>
    <row r="112" spans="2:8" s="39" customFormat="1" ht="30" customHeight="1" thickBot="1" x14ac:dyDescent="0.3">
      <c r="B112" s="61" t="s">
        <v>63</v>
      </c>
      <c r="C112" s="134" t="s">
        <v>64</v>
      </c>
      <c r="D112" s="133"/>
      <c r="E112" s="61" t="s">
        <v>65</v>
      </c>
      <c r="F112" s="247" t="s">
        <v>66</v>
      </c>
      <c r="G112" s="248"/>
      <c r="H112" s="151"/>
    </row>
    <row r="113" spans="2:8" s="43" customFormat="1" ht="27" x14ac:dyDescent="0.3">
      <c r="B113" s="45" t="s">
        <v>74</v>
      </c>
      <c r="C113" s="45">
        <v>8</v>
      </c>
      <c r="D113" s="127" t="str">
        <f t="shared" ref="D113:D114" si="23" xml:space="preserve"> IF(C113="","",setValueToTime(C113))</f>
        <v xml:space="preserve"> 40 min</v>
      </c>
      <c r="E113" s="46" t="s">
        <v>134</v>
      </c>
      <c r="F113" s="239"/>
      <c r="G113" s="240"/>
      <c r="H113" s="152"/>
    </row>
    <row r="114" spans="2:8" s="43" customFormat="1" ht="27" x14ac:dyDescent="0.3">
      <c r="B114" s="45" t="s">
        <v>77</v>
      </c>
      <c r="C114" s="45">
        <v>20</v>
      </c>
      <c r="D114" s="127" t="str">
        <f t="shared" si="23"/>
        <v>1h 40 min</v>
      </c>
      <c r="E114" s="46" t="s">
        <v>133</v>
      </c>
      <c r="F114" s="241"/>
      <c r="G114" s="242"/>
      <c r="H114" s="152"/>
    </row>
    <row r="115" spans="2:8" s="43" customFormat="1" ht="27" x14ac:dyDescent="0.3">
      <c r="B115" s="44" t="s">
        <v>75</v>
      </c>
      <c r="C115" s="45">
        <v>4</v>
      </c>
      <c r="D115" s="126" t="str">
        <f t="shared" ref="D115:D118" si="24" xml:space="preserve"> IF(C115="","",setValueToTime(C115))</f>
        <v xml:space="preserve"> 20 min</v>
      </c>
      <c r="E115" s="46" t="s">
        <v>135</v>
      </c>
      <c r="F115" s="241"/>
      <c r="G115" s="242"/>
      <c r="H115" s="152"/>
    </row>
    <row r="116" spans="2:8" s="43" customFormat="1" ht="54" x14ac:dyDescent="0.3">
      <c r="B116" s="44" t="s">
        <v>76</v>
      </c>
      <c r="C116" s="45">
        <v>2</v>
      </c>
      <c r="D116" s="126" t="str">
        <f t="shared" si="24"/>
        <v xml:space="preserve"> 10 min</v>
      </c>
      <c r="E116" s="46" t="s">
        <v>136</v>
      </c>
      <c r="F116" s="256" t="s">
        <v>138</v>
      </c>
      <c r="G116" s="242"/>
      <c r="H116" s="152"/>
    </row>
    <row r="117" spans="2:8" s="43" customFormat="1" x14ac:dyDescent="0.3">
      <c r="B117" s="44" t="s">
        <v>58</v>
      </c>
      <c r="C117" s="45">
        <v>1</v>
      </c>
      <c r="D117" s="127" t="str">
        <f t="shared" si="24"/>
        <v xml:space="preserve"> 5 min</v>
      </c>
      <c r="E117" s="171" t="s">
        <v>137</v>
      </c>
      <c r="F117" s="241"/>
      <c r="G117" s="242"/>
      <c r="H117" s="152"/>
    </row>
    <row r="118" spans="2:8" s="43" customFormat="1" ht="41.25" thickBot="1" x14ac:dyDescent="0.35">
      <c r="B118" s="45" t="s">
        <v>95</v>
      </c>
      <c r="C118" s="45">
        <v>3</v>
      </c>
      <c r="D118" s="127" t="str">
        <f t="shared" si="24"/>
        <v xml:space="preserve"> 15 min</v>
      </c>
      <c r="E118" s="171" t="s">
        <v>96</v>
      </c>
      <c r="F118" s="249" t="s">
        <v>115</v>
      </c>
      <c r="G118" s="250"/>
      <c r="H118" s="152"/>
    </row>
    <row r="119" spans="2:8" s="43" customFormat="1" ht="15" thickBot="1" x14ac:dyDescent="0.35">
      <c r="B119" s="135" t="s">
        <v>68</v>
      </c>
      <c r="C119" s="66">
        <f>SUM(C113:C118)</f>
        <v>38</v>
      </c>
      <c r="D119" s="135" t="str">
        <f xml:space="preserve"> setValueToTime(C119)</f>
        <v>3h 10 min</v>
      </c>
      <c r="E119" s="96"/>
      <c r="F119" s="245"/>
      <c r="G119" s="246"/>
      <c r="H119" s="152"/>
    </row>
    <row r="120" spans="2:8" s="43" customFormat="1" ht="15" thickBot="1" x14ac:dyDescent="0.35">
      <c r="B120" s="60"/>
      <c r="C120" s="60"/>
      <c r="D120" s="60"/>
      <c r="E120" s="60"/>
      <c r="F120" s="60"/>
      <c r="G120" s="60"/>
      <c r="H120" s="152"/>
    </row>
    <row r="121" spans="2:8" s="39" customFormat="1" ht="30" customHeight="1" thickBot="1" x14ac:dyDescent="0.3">
      <c r="B121" s="129" t="s">
        <v>61</v>
      </c>
      <c r="C121" s="137">
        <v>12</v>
      </c>
      <c r="D121" s="137"/>
      <c r="E121" s="130" t="s">
        <v>62</v>
      </c>
      <c r="F121" s="131">
        <v>45791</v>
      </c>
      <c r="G121" s="132" t="s">
        <v>80</v>
      </c>
      <c r="H121" s="151"/>
    </row>
    <row r="122" spans="2:8" s="39" customFormat="1" ht="30" customHeight="1" thickBot="1" x14ac:dyDescent="0.3">
      <c r="B122" s="61" t="s">
        <v>63</v>
      </c>
      <c r="C122" s="134" t="s">
        <v>64</v>
      </c>
      <c r="D122" s="133"/>
      <c r="E122" s="61" t="s">
        <v>65</v>
      </c>
      <c r="F122" s="247" t="s">
        <v>66</v>
      </c>
      <c r="G122" s="248"/>
      <c r="H122" s="151"/>
    </row>
    <row r="123" spans="2:8" s="43" customFormat="1" ht="27" x14ac:dyDescent="0.3">
      <c r="B123" s="40" t="s">
        <v>104</v>
      </c>
      <c r="C123" s="41">
        <v>1</v>
      </c>
      <c r="D123" s="125" t="str">
        <f xml:space="preserve"> IF(C123="","",setValueToTime(C123))</f>
        <v xml:space="preserve"> 5 min</v>
      </c>
      <c r="E123" s="42" t="s">
        <v>105</v>
      </c>
      <c r="F123" s="239"/>
      <c r="G123" s="240"/>
      <c r="H123" s="152"/>
    </row>
    <row r="124" spans="2:8" s="43" customFormat="1" ht="27" x14ac:dyDescent="0.3">
      <c r="B124" s="45" t="s">
        <v>74</v>
      </c>
      <c r="C124" s="45">
        <v>16</v>
      </c>
      <c r="D124" s="127" t="str">
        <f t="shared" ref="D124:D125" si="25" xml:space="preserve"> IF(C124="","",setValueToTime(C124))</f>
        <v>1h 20 min</v>
      </c>
      <c r="E124" s="46" t="s">
        <v>132</v>
      </c>
      <c r="F124" s="241"/>
      <c r="G124" s="242"/>
      <c r="H124" s="152"/>
    </row>
    <row r="125" spans="2:8" s="43" customFormat="1" ht="27.75" thickBot="1" x14ac:dyDescent="0.35">
      <c r="B125" s="45" t="s">
        <v>77</v>
      </c>
      <c r="C125" s="45">
        <v>31</v>
      </c>
      <c r="D125" s="127" t="str">
        <f t="shared" si="25"/>
        <v>2h 35 min</v>
      </c>
      <c r="E125" s="46" t="s">
        <v>133</v>
      </c>
      <c r="F125" s="241"/>
      <c r="G125" s="242"/>
      <c r="H125" s="152"/>
    </row>
    <row r="126" spans="2:8" s="43" customFormat="1" ht="15" thickBot="1" x14ac:dyDescent="0.35">
      <c r="B126" s="135" t="s">
        <v>68</v>
      </c>
      <c r="C126" s="66">
        <f>SUM(C123:C125)</f>
        <v>48</v>
      </c>
      <c r="D126" s="135" t="str">
        <f xml:space="preserve"> setValueToTime(C126)</f>
        <v>4h</v>
      </c>
      <c r="E126" s="96"/>
      <c r="F126" s="245"/>
      <c r="G126" s="246"/>
      <c r="H126" s="152"/>
    </row>
    <row r="127" spans="2:8" s="43" customFormat="1" ht="15" thickBot="1" x14ac:dyDescent="0.35">
      <c r="B127" s="60"/>
      <c r="C127" s="60"/>
      <c r="D127" s="60"/>
      <c r="E127" s="60"/>
      <c r="F127" s="60"/>
      <c r="G127" s="60"/>
      <c r="H127" s="152"/>
    </row>
    <row r="128" spans="2:8" s="39" customFormat="1" ht="30" customHeight="1" thickBot="1" x14ac:dyDescent="0.3">
      <c r="B128" s="129" t="s">
        <v>61</v>
      </c>
      <c r="C128" s="137">
        <v>11</v>
      </c>
      <c r="D128" s="137"/>
      <c r="E128" s="130" t="s">
        <v>62</v>
      </c>
      <c r="F128" s="131">
        <v>45789</v>
      </c>
      <c r="G128" s="132" t="s">
        <v>90</v>
      </c>
      <c r="H128" s="151"/>
    </row>
    <row r="129" spans="2:8" s="39" customFormat="1" ht="30" customHeight="1" thickBot="1" x14ac:dyDescent="0.3">
      <c r="B129" s="61" t="s">
        <v>63</v>
      </c>
      <c r="C129" s="134" t="s">
        <v>64</v>
      </c>
      <c r="D129" s="133"/>
      <c r="E129" s="61" t="s">
        <v>65</v>
      </c>
      <c r="F129" s="247" t="s">
        <v>66</v>
      </c>
      <c r="G129" s="248"/>
      <c r="H129" s="151"/>
    </row>
    <row r="130" spans="2:8" s="43" customFormat="1" ht="27" x14ac:dyDescent="0.3">
      <c r="B130" s="45" t="s">
        <v>74</v>
      </c>
      <c r="C130" s="45">
        <v>8</v>
      </c>
      <c r="D130" s="127" t="str">
        <f t="shared" ref="D130:D131" si="26" xml:space="preserve"> IF(C130="","",setValueToTime(C130))</f>
        <v xml:space="preserve"> 40 min</v>
      </c>
      <c r="E130" s="46" t="s">
        <v>132</v>
      </c>
      <c r="F130" s="239"/>
      <c r="G130" s="240"/>
      <c r="H130" s="152"/>
    </row>
    <row r="131" spans="2:8" s="43" customFormat="1" ht="27.75" thickBot="1" x14ac:dyDescent="0.35">
      <c r="B131" s="45" t="s">
        <v>77</v>
      </c>
      <c r="C131" s="45">
        <v>21</v>
      </c>
      <c r="D131" s="127" t="str">
        <f t="shared" si="26"/>
        <v>1h 45 min</v>
      </c>
      <c r="E131" s="46" t="s">
        <v>131</v>
      </c>
      <c r="F131" s="241"/>
      <c r="G131" s="242"/>
      <c r="H131" s="152"/>
    </row>
    <row r="132" spans="2:8" s="43" customFormat="1" ht="15" thickBot="1" x14ac:dyDescent="0.35">
      <c r="B132" s="135" t="s">
        <v>68</v>
      </c>
      <c r="C132" s="66">
        <f>SUM(C130:C131)</f>
        <v>29</v>
      </c>
      <c r="D132" s="135" t="str">
        <f xml:space="preserve"> setValueToTime(C132)</f>
        <v>2h 25 min</v>
      </c>
      <c r="E132" s="96"/>
      <c r="F132" s="245"/>
      <c r="G132" s="246"/>
      <c r="H132" s="152"/>
    </row>
    <row r="133" spans="2:8" s="43" customFormat="1" ht="15" thickBot="1" x14ac:dyDescent="0.35">
      <c r="B133" s="60"/>
      <c r="C133" s="60"/>
      <c r="D133" s="60"/>
      <c r="E133" s="60"/>
      <c r="F133" s="60"/>
      <c r="G133" s="60"/>
      <c r="H133" s="152"/>
    </row>
    <row r="134" spans="2:8" s="39" customFormat="1" ht="30" customHeight="1" thickBot="1" x14ac:dyDescent="0.3">
      <c r="B134" s="129" t="s">
        <v>61</v>
      </c>
      <c r="C134" s="137">
        <v>10</v>
      </c>
      <c r="D134" s="137"/>
      <c r="E134" s="130" t="s">
        <v>62</v>
      </c>
      <c r="F134" s="131">
        <v>45789</v>
      </c>
      <c r="G134" s="132" t="s">
        <v>80</v>
      </c>
      <c r="H134" s="151"/>
    </row>
    <row r="135" spans="2:8" s="39" customFormat="1" ht="30" customHeight="1" thickBot="1" x14ac:dyDescent="0.3">
      <c r="B135" s="61" t="s">
        <v>63</v>
      </c>
      <c r="C135" s="134" t="s">
        <v>64</v>
      </c>
      <c r="D135" s="133"/>
      <c r="E135" s="61" t="s">
        <v>65</v>
      </c>
      <c r="F135" s="247" t="s">
        <v>66</v>
      </c>
      <c r="G135" s="248"/>
      <c r="H135" s="151"/>
    </row>
    <row r="136" spans="2:8" s="43" customFormat="1" ht="27" x14ac:dyDescent="0.3">
      <c r="B136" s="40" t="s">
        <v>104</v>
      </c>
      <c r="C136" s="41">
        <v>1</v>
      </c>
      <c r="D136" s="125" t="str">
        <f xml:space="preserve"> IF(C136="","",setValueToTime(C136))</f>
        <v xml:space="preserve"> 5 min</v>
      </c>
      <c r="E136" s="42" t="s">
        <v>105</v>
      </c>
      <c r="F136" s="253"/>
      <c r="G136" s="254"/>
      <c r="H136" s="152"/>
    </row>
    <row r="137" spans="2:8" s="43" customFormat="1" ht="27.75" thickBot="1" x14ac:dyDescent="0.35">
      <c r="B137" s="44" t="s">
        <v>71</v>
      </c>
      <c r="C137" s="45">
        <v>3</v>
      </c>
      <c r="D137" s="126" t="str">
        <f t="shared" ref="D137:D141" si="27" xml:space="preserve"> IF(C137="","",setValueToTime(C137))</f>
        <v xml:space="preserve"> 15 min</v>
      </c>
      <c r="E137" s="46" t="s">
        <v>128</v>
      </c>
      <c r="F137" s="258"/>
      <c r="G137" s="250"/>
      <c r="H137" s="152"/>
    </row>
    <row r="138" spans="2:8" s="43" customFormat="1" x14ac:dyDescent="0.3">
      <c r="B138" s="44" t="s">
        <v>58</v>
      </c>
      <c r="C138" s="45">
        <v>4</v>
      </c>
      <c r="D138" s="126" t="str">
        <f t="shared" si="27"/>
        <v xml:space="preserve"> 20 min</v>
      </c>
      <c r="E138" s="46" t="s">
        <v>129</v>
      </c>
      <c r="F138" s="257" t="s">
        <v>112</v>
      </c>
      <c r="G138" s="254"/>
      <c r="H138" s="152"/>
    </row>
    <row r="139" spans="2:8" s="43" customFormat="1" ht="27" x14ac:dyDescent="0.3">
      <c r="B139" s="44" t="s">
        <v>73</v>
      </c>
      <c r="C139" s="45">
        <v>4</v>
      </c>
      <c r="D139" s="126" t="str">
        <f t="shared" si="27"/>
        <v xml:space="preserve"> 20 min</v>
      </c>
      <c r="E139" s="46" t="s">
        <v>130</v>
      </c>
      <c r="F139" s="249" t="s">
        <v>99</v>
      </c>
      <c r="G139" s="250"/>
      <c r="H139" s="152"/>
    </row>
    <row r="140" spans="2:8" s="43" customFormat="1" ht="27" x14ac:dyDescent="0.3">
      <c r="B140" s="45" t="s">
        <v>74</v>
      </c>
      <c r="C140" s="45">
        <v>10</v>
      </c>
      <c r="D140" s="127" t="str">
        <f t="shared" si="27"/>
        <v xml:space="preserve"> 50 min</v>
      </c>
      <c r="E140" s="46" t="s">
        <v>132</v>
      </c>
      <c r="F140" s="258"/>
      <c r="G140" s="250"/>
      <c r="H140" s="152"/>
    </row>
    <row r="141" spans="2:8" s="43" customFormat="1" ht="27.75" thickBot="1" x14ac:dyDescent="0.35">
      <c r="B141" s="45" t="s">
        <v>77</v>
      </c>
      <c r="C141" s="45">
        <v>16</v>
      </c>
      <c r="D141" s="127" t="str">
        <f t="shared" si="27"/>
        <v>1h 20 min</v>
      </c>
      <c r="E141" s="46" t="s">
        <v>131</v>
      </c>
      <c r="F141" s="258"/>
      <c r="G141" s="250"/>
      <c r="H141" s="152"/>
    </row>
    <row r="142" spans="2:8" s="43" customFormat="1" ht="15" thickBot="1" x14ac:dyDescent="0.35">
      <c r="B142" s="135" t="s">
        <v>68</v>
      </c>
      <c r="C142" s="66">
        <f>SUM(C136:C141)</f>
        <v>38</v>
      </c>
      <c r="D142" s="135" t="str">
        <f xml:space="preserve"> setValueToTime(C142)</f>
        <v>3h 10 min</v>
      </c>
      <c r="E142" s="96"/>
      <c r="F142" s="245"/>
      <c r="G142" s="246"/>
      <c r="H142" s="152"/>
    </row>
    <row r="143" spans="2:8" s="43" customFormat="1" ht="15" thickBot="1" x14ac:dyDescent="0.35">
      <c r="B143" s="60"/>
      <c r="C143" s="60"/>
      <c r="D143" s="60"/>
      <c r="E143" s="60"/>
      <c r="F143" s="60"/>
      <c r="G143" s="60"/>
      <c r="H143" s="152"/>
    </row>
    <row r="144" spans="2:8" s="39" customFormat="1" ht="30" customHeight="1" thickBot="1" x14ac:dyDescent="0.3">
      <c r="B144" s="129" t="s">
        <v>61</v>
      </c>
      <c r="C144" s="137">
        <v>9</v>
      </c>
      <c r="D144" s="137"/>
      <c r="E144" s="130" t="s">
        <v>62</v>
      </c>
      <c r="F144" s="131">
        <v>45786</v>
      </c>
      <c r="G144" s="132" t="s">
        <v>90</v>
      </c>
      <c r="H144" s="151"/>
    </row>
    <row r="145" spans="2:8" s="39" customFormat="1" ht="30" customHeight="1" thickBot="1" x14ac:dyDescent="0.3">
      <c r="B145" s="61" t="s">
        <v>63</v>
      </c>
      <c r="C145" s="134" t="s">
        <v>64</v>
      </c>
      <c r="D145" s="133"/>
      <c r="E145" s="61" t="s">
        <v>65</v>
      </c>
      <c r="F145" s="247" t="s">
        <v>66</v>
      </c>
      <c r="G145" s="248"/>
      <c r="H145" s="151"/>
    </row>
    <row r="146" spans="2:8" s="43" customFormat="1" ht="27" x14ac:dyDescent="0.3">
      <c r="B146" s="44" t="s">
        <v>74</v>
      </c>
      <c r="C146" s="45">
        <v>8</v>
      </c>
      <c r="D146" s="126" t="str">
        <f t="shared" ref="D146" si="28" xml:space="preserve"> IF(C146="","",setValueToTime(C146))</f>
        <v xml:space="preserve"> 40 min</v>
      </c>
      <c r="E146" s="46" t="s">
        <v>124</v>
      </c>
      <c r="F146" s="239"/>
      <c r="G146" s="240"/>
      <c r="H146" s="152"/>
    </row>
    <row r="147" spans="2:8" s="43" customFormat="1" ht="27" x14ac:dyDescent="0.3">
      <c r="B147" s="45" t="s">
        <v>77</v>
      </c>
      <c r="C147" s="45">
        <v>6</v>
      </c>
      <c r="D147" s="127" t="str">
        <f t="shared" ref="D147" si="29" xml:space="preserve"> IF(C147="","",setValueToTime(C147))</f>
        <v xml:space="preserve"> 30 min</v>
      </c>
      <c r="E147" s="46" t="s">
        <v>125</v>
      </c>
      <c r="F147" s="241"/>
      <c r="G147" s="242"/>
      <c r="H147" s="152"/>
    </row>
    <row r="148" spans="2:8" s="43" customFormat="1" ht="27.75" thickBot="1" x14ac:dyDescent="0.35">
      <c r="B148" s="45" t="s">
        <v>77</v>
      </c>
      <c r="C148" s="45">
        <v>16</v>
      </c>
      <c r="D148" s="127" t="str">
        <f t="shared" ref="D148" si="30" xml:space="preserve"> IF(C148="","",setValueToTime(C148))</f>
        <v>1h 20 min</v>
      </c>
      <c r="E148" s="46" t="s">
        <v>126</v>
      </c>
      <c r="F148" s="241"/>
      <c r="G148" s="242"/>
      <c r="H148" s="152"/>
    </row>
    <row r="149" spans="2:8" s="43" customFormat="1" x14ac:dyDescent="0.3">
      <c r="B149" s="44" t="s">
        <v>58</v>
      </c>
      <c r="C149" s="45">
        <v>4</v>
      </c>
      <c r="D149" s="126" t="str">
        <f t="shared" ref="D149:D151" si="31" xml:space="preserve"> IF(C149="","",setValueToTime(C149))</f>
        <v xml:space="preserve"> 20 min</v>
      </c>
      <c r="E149" s="46" t="s">
        <v>127</v>
      </c>
      <c r="F149" s="257" t="s">
        <v>112</v>
      </c>
      <c r="G149" s="254"/>
      <c r="H149" s="152"/>
    </row>
    <row r="150" spans="2:8" s="43" customFormat="1" x14ac:dyDescent="0.3">
      <c r="B150" s="44" t="s">
        <v>58</v>
      </c>
      <c r="C150" s="45">
        <v>1</v>
      </c>
      <c r="D150" s="127" t="str">
        <f t="shared" si="31"/>
        <v xml:space="preserve"> 5 min</v>
      </c>
      <c r="E150" s="171" t="s">
        <v>94</v>
      </c>
      <c r="F150" s="241"/>
      <c r="G150" s="242"/>
      <c r="H150" s="152"/>
    </row>
    <row r="151" spans="2:8" s="43" customFormat="1" ht="41.25" thickBot="1" x14ac:dyDescent="0.35">
      <c r="B151" s="45" t="s">
        <v>95</v>
      </c>
      <c r="C151" s="45">
        <v>3</v>
      </c>
      <c r="D151" s="127" t="str">
        <f t="shared" si="31"/>
        <v xml:space="preserve"> 15 min</v>
      </c>
      <c r="E151" s="171" t="s">
        <v>96</v>
      </c>
      <c r="F151" s="249" t="s">
        <v>115</v>
      </c>
      <c r="G151" s="250"/>
      <c r="H151" s="152"/>
    </row>
    <row r="152" spans="2:8" s="43" customFormat="1" ht="15" thickBot="1" x14ac:dyDescent="0.35">
      <c r="B152" s="135" t="s">
        <v>68</v>
      </c>
      <c r="C152" s="66">
        <f>SUM(C146:C151)</f>
        <v>38</v>
      </c>
      <c r="D152" s="135" t="str">
        <f xml:space="preserve"> setValueToTime(C152)</f>
        <v>3h 10 min</v>
      </c>
      <c r="E152" s="96"/>
      <c r="F152" s="245"/>
      <c r="G152" s="246"/>
      <c r="H152" s="152"/>
    </row>
    <row r="153" spans="2:8" s="43" customFormat="1" ht="15" thickBot="1" x14ac:dyDescent="0.35">
      <c r="B153" s="60"/>
      <c r="C153" s="60"/>
      <c r="D153" s="60"/>
      <c r="E153" s="60"/>
      <c r="F153" s="60"/>
      <c r="G153" s="60"/>
      <c r="H153" s="152"/>
    </row>
    <row r="154" spans="2:8" s="39" customFormat="1" ht="30" customHeight="1" thickBot="1" x14ac:dyDescent="0.3">
      <c r="B154" s="129" t="s">
        <v>61</v>
      </c>
      <c r="C154" s="137">
        <v>8</v>
      </c>
      <c r="D154" s="137"/>
      <c r="E154" s="130" t="s">
        <v>62</v>
      </c>
      <c r="F154" s="131">
        <v>45786</v>
      </c>
      <c r="G154" s="132" t="s">
        <v>80</v>
      </c>
      <c r="H154" s="151"/>
    </row>
    <row r="155" spans="2:8" s="39" customFormat="1" ht="30" customHeight="1" thickBot="1" x14ac:dyDescent="0.3">
      <c r="B155" s="61" t="s">
        <v>63</v>
      </c>
      <c r="C155" s="134" t="s">
        <v>64</v>
      </c>
      <c r="D155" s="133"/>
      <c r="E155" s="61" t="s">
        <v>65</v>
      </c>
      <c r="F155" s="247" t="s">
        <v>66</v>
      </c>
      <c r="G155" s="248"/>
      <c r="H155" s="151"/>
    </row>
    <row r="156" spans="2:8" s="43" customFormat="1" ht="27" x14ac:dyDescent="0.3">
      <c r="B156" s="40" t="s">
        <v>104</v>
      </c>
      <c r="C156" s="41">
        <v>1</v>
      </c>
      <c r="D156" s="125" t="str">
        <f xml:space="preserve"> IF(C156="","",setValueToTime(C156))</f>
        <v xml:space="preserve"> 5 min</v>
      </c>
      <c r="E156" s="42" t="s">
        <v>105</v>
      </c>
      <c r="F156" s="239"/>
      <c r="G156" s="240"/>
      <c r="H156" s="152"/>
    </row>
    <row r="157" spans="2:8" s="43" customFormat="1" ht="27.75" thickBot="1" x14ac:dyDescent="0.35">
      <c r="B157" s="45" t="s">
        <v>56</v>
      </c>
      <c r="C157" s="45">
        <v>10</v>
      </c>
      <c r="D157" s="127" t="str">
        <f t="shared" ref="D157" si="32" xml:space="preserve"> IF(C157="","",setValueToTime(C157))</f>
        <v xml:space="preserve"> 50 min</v>
      </c>
      <c r="E157" s="192" t="s">
        <v>120</v>
      </c>
      <c r="F157" s="249" t="s">
        <v>99</v>
      </c>
      <c r="G157" s="250"/>
      <c r="H157" s="152"/>
    </row>
    <row r="158" spans="2:8" s="43" customFormat="1" x14ac:dyDescent="0.3">
      <c r="B158" s="44" t="s">
        <v>58</v>
      </c>
      <c r="C158" s="45">
        <v>7</v>
      </c>
      <c r="D158" s="126" t="str">
        <f t="shared" ref="D158:D160" si="33" xml:space="preserve"> IF(C158="","",setValueToTime(C158))</f>
        <v xml:space="preserve"> 35 min</v>
      </c>
      <c r="E158" s="46" t="s">
        <v>121</v>
      </c>
      <c r="F158" s="257" t="s">
        <v>112</v>
      </c>
      <c r="G158" s="254"/>
      <c r="H158" s="152"/>
    </row>
    <row r="159" spans="2:8" s="43" customFormat="1" ht="27" x14ac:dyDescent="0.3">
      <c r="B159" s="44" t="s">
        <v>74</v>
      </c>
      <c r="C159" s="45">
        <v>17</v>
      </c>
      <c r="D159" s="126" t="str">
        <f t="shared" si="33"/>
        <v>1h 25 min</v>
      </c>
      <c r="E159" s="46" t="s">
        <v>122</v>
      </c>
      <c r="F159" s="241"/>
      <c r="G159" s="242"/>
      <c r="H159" s="152"/>
    </row>
    <row r="160" spans="2:8" s="43" customFormat="1" ht="27.75" thickBot="1" x14ac:dyDescent="0.35">
      <c r="B160" s="45" t="s">
        <v>77</v>
      </c>
      <c r="C160" s="45">
        <v>13</v>
      </c>
      <c r="D160" s="127" t="str">
        <f t="shared" si="33"/>
        <v>1h 5 min</v>
      </c>
      <c r="E160" s="46" t="s">
        <v>123</v>
      </c>
      <c r="F160" s="241"/>
      <c r="G160" s="242"/>
      <c r="H160" s="152"/>
    </row>
    <row r="161" spans="2:8" s="43" customFormat="1" ht="15" thickBot="1" x14ac:dyDescent="0.35">
      <c r="B161" s="135" t="s">
        <v>68</v>
      </c>
      <c r="C161" s="66">
        <f>SUM(C156:C160)</f>
        <v>48</v>
      </c>
      <c r="D161" s="135" t="str">
        <f xml:space="preserve"> setValueToTime(C161)</f>
        <v>4h</v>
      </c>
      <c r="E161" s="96"/>
      <c r="F161" s="245"/>
      <c r="G161" s="246"/>
      <c r="H161" s="152"/>
    </row>
    <row r="162" spans="2:8" s="43" customFormat="1" ht="15" thickBot="1" x14ac:dyDescent="0.35">
      <c r="B162" s="60"/>
      <c r="C162" s="60"/>
      <c r="D162" s="60"/>
      <c r="E162" s="60"/>
      <c r="F162" s="60"/>
      <c r="G162" s="60"/>
      <c r="H162" s="152"/>
    </row>
    <row r="163" spans="2:8" s="39" customFormat="1" ht="30" customHeight="1" thickBot="1" x14ac:dyDescent="0.3">
      <c r="B163" s="129" t="s">
        <v>61</v>
      </c>
      <c r="C163" s="137">
        <v>7</v>
      </c>
      <c r="D163" s="137"/>
      <c r="E163" s="130" t="s">
        <v>62</v>
      </c>
      <c r="F163" s="131" t="s">
        <v>117</v>
      </c>
      <c r="G163" s="132" t="s">
        <v>90</v>
      </c>
      <c r="H163" s="151"/>
    </row>
    <row r="164" spans="2:8" s="39" customFormat="1" ht="30" customHeight="1" thickBot="1" x14ac:dyDescent="0.3">
      <c r="B164" s="61" t="s">
        <v>63</v>
      </c>
      <c r="C164" s="134" t="s">
        <v>64</v>
      </c>
      <c r="D164" s="133"/>
      <c r="E164" s="61" t="s">
        <v>65</v>
      </c>
      <c r="F164" s="247" t="s">
        <v>66</v>
      </c>
      <c r="G164" s="248"/>
      <c r="H164" s="151"/>
    </row>
    <row r="165" spans="2:8" s="43" customFormat="1" ht="27" x14ac:dyDescent="0.3">
      <c r="B165" s="40" t="s">
        <v>104</v>
      </c>
      <c r="C165" s="41">
        <v>1</v>
      </c>
      <c r="D165" s="125" t="str">
        <f xml:space="preserve"> IF(C165="","",setValueToTime(C165))</f>
        <v xml:space="preserve"> 5 min</v>
      </c>
      <c r="E165" s="42" t="s">
        <v>105</v>
      </c>
      <c r="F165" s="239"/>
      <c r="G165" s="240"/>
      <c r="H165" s="152"/>
    </row>
    <row r="166" spans="2:8" s="43" customFormat="1" ht="27" x14ac:dyDescent="0.3">
      <c r="B166" s="44" t="s">
        <v>71</v>
      </c>
      <c r="C166" s="45">
        <v>18</v>
      </c>
      <c r="D166" s="126" t="str">
        <f t="shared" ref="D166:D167" si="34" xml:space="preserve"> IF(C166="","",setValueToTime(C166))</f>
        <v>1h 30 min</v>
      </c>
      <c r="E166" s="46" t="s">
        <v>118</v>
      </c>
      <c r="F166" s="241"/>
      <c r="G166" s="242"/>
      <c r="H166" s="152"/>
    </row>
    <row r="167" spans="2:8" s="43" customFormat="1" ht="27.75" thickBot="1" x14ac:dyDescent="0.35">
      <c r="B167" s="45" t="s">
        <v>56</v>
      </c>
      <c r="C167" s="45">
        <v>19</v>
      </c>
      <c r="D167" s="127" t="str">
        <f t="shared" si="34"/>
        <v>1h 35 min</v>
      </c>
      <c r="E167" s="192" t="s">
        <v>119</v>
      </c>
      <c r="F167" s="241"/>
      <c r="G167" s="242"/>
      <c r="H167" s="152"/>
    </row>
    <row r="168" spans="2:8" s="43" customFormat="1" ht="15" thickBot="1" x14ac:dyDescent="0.35">
      <c r="B168" s="135" t="s">
        <v>68</v>
      </c>
      <c r="C168" s="66">
        <f>SUM(C165:C167)</f>
        <v>38</v>
      </c>
      <c r="D168" s="135" t="str">
        <f xml:space="preserve"> setValueToTime(C168)</f>
        <v>3h 10 min</v>
      </c>
      <c r="E168" s="96"/>
      <c r="F168" s="245"/>
      <c r="G168" s="246"/>
      <c r="H168" s="152"/>
    </row>
    <row r="169" spans="2:8" s="43" customFormat="1" ht="15" thickBot="1" x14ac:dyDescent="0.35">
      <c r="B169" s="60"/>
      <c r="C169" s="60"/>
      <c r="D169" s="60"/>
      <c r="E169" s="60"/>
      <c r="F169" s="60"/>
      <c r="G169" s="60"/>
      <c r="H169" s="152"/>
    </row>
    <row r="170" spans="2:8" s="39" customFormat="1" ht="30" customHeight="1" thickBot="1" x14ac:dyDescent="0.3">
      <c r="B170" s="129" t="s">
        <v>61</v>
      </c>
      <c r="C170" s="137">
        <v>6</v>
      </c>
      <c r="D170" s="137"/>
      <c r="E170" s="130" t="s">
        <v>62</v>
      </c>
      <c r="F170" s="131">
        <v>45784</v>
      </c>
      <c r="G170" s="132" t="s">
        <v>90</v>
      </c>
      <c r="H170" s="151"/>
    </row>
    <row r="171" spans="2:8" s="39" customFormat="1" ht="30" customHeight="1" thickBot="1" x14ac:dyDescent="0.3">
      <c r="B171" s="61" t="s">
        <v>63</v>
      </c>
      <c r="C171" s="134" t="s">
        <v>64</v>
      </c>
      <c r="D171" s="133"/>
      <c r="E171" s="61" t="s">
        <v>65</v>
      </c>
      <c r="F171" s="247" t="s">
        <v>66</v>
      </c>
      <c r="G171" s="248"/>
      <c r="H171" s="151"/>
    </row>
    <row r="172" spans="2:8" s="43" customFormat="1" ht="27" x14ac:dyDescent="0.3">
      <c r="B172" s="45" t="s">
        <v>58</v>
      </c>
      <c r="C172" s="45">
        <v>27</v>
      </c>
      <c r="D172" s="127" t="str">
        <f xml:space="preserve"> IF(C172="","",setValueToTime(C172))</f>
        <v>2h 15 min</v>
      </c>
      <c r="E172" s="42" t="s">
        <v>113</v>
      </c>
      <c r="F172" s="257" t="s">
        <v>112</v>
      </c>
      <c r="G172" s="254"/>
      <c r="H172" s="152"/>
    </row>
    <row r="173" spans="2:8" s="43" customFormat="1" ht="54" x14ac:dyDescent="0.3">
      <c r="B173" s="44" t="s">
        <v>69</v>
      </c>
      <c r="C173" s="45">
        <v>7</v>
      </c>
      <c r="D173" s="126" t="str">
        <f t="shared" ref="D173:D176" si="35" xml:space="preserve"> IF(C173="","",setValueToTime(C173))</f>
        <v xml:space="preserve"> 35 min</v>
      </c>
      <c r="E173" s="46" t="s">
        <v>114</v>
      </c>
      <c r="F173" s="258"/>
      <c r="G173" s="250"/>
      <c r="H173" s="152"/>
    </row>
    <row r="174" spans="2:8" s="43" customFormat="1" x14ac:dyDescent="0.3">
      <c r="B174" s="44" t="s">
        <v>58</v>
      </c>
      <c r="C174" s="45">
        <v>1</v>
      </c>
      <c r="D174" s="127" t="str">
        <f t="shared" si="35"/>
        <v xml:space="preserve"> 5 min</v>
      </c>
      <c r="E174" s="171" t="s">
        <v>94</v>
      </c>
      <c r="F174" s="258"/>
      <c r="G174" s="250"/>
      <c r="H174" s="152"/>
    </row>
    <row r="175" spans="2:8" s="43" customFormat="1" ht="40.5" x14ac:dyDescent="0.3">
      <c r="B175" s="45" t="s">
        <v>95</v>
      </c>
      <c r="C175" s="45">
        <v>3</v>
      </c>
      <c r="D175" s="127" t="str">
        <f t="shared" si="35"/>
        <v xml:space="preserve"> 15 min</v>
      </c>
      <c r="E175" s="171" t="s">
        <v>96</v>
      </c>
      <c r="F175" s="249" t="s">
        <v>115</v>
      </c>
      <c r="G175" s="250"/>
      <c r="H175" s="152"/>
    </row>
    <row r="176" spans="2:8" s="43" customFormat="1" ht="15" thickBot="1" x14ac:dyDescent="0.35">
      <c r="B176" s="45"/>
      <c r="C176" s="45"/>
      <c r="D176" s="127" t="str">
        <f t="shared" si="35"/>
        <v/>
      </c>
      <c r="E176" s="46"/>
      <c r="F176" s="249" t="s">
        <v>116</v>
      </c>
      <c r="G176" s="250"/>
      <c r="H176" s="152"/>
    </row>
    <row r="177" spans="2:8" s="43" customFormat="1" ht="15" thickBot="1" x14ac:dyDescent="0.35">
      <c r="B177" s="135" t="s">
        <v>68</v>
      </c>
      <c r="C177" s="66">
        <f>SUM(C172:C176)</f>
        <v>38</v>
      </c>
      <c r="D177" s="135" t="str">
        <f xml:space="preserve"> setValueToTime(C177)</f>
        <v>3h 10 min</v>
      </c>
      <c r="E177" s="96"/>
      <c r="F177" s="245"/>
      <c r="G177" s="246"/>
      <c r="H177" s="152"/>
    </row>
    <row r="178" spans="2:8" s="43" customFormat="1" ht="15" thickBot="1" x14ac:dyDescent="0.35">
      <c r="B178" s="60"/>
      <c r="C178" s="60"/>
      <c r="D178" s="60"/>
      <c r="E178" s="60"/>
      <c r="F178" s="60"/>
      <c r="G178" s="60"/>
      <c r="H178" s="152"/>
    </row>
    <row r="179" spans="2:8" s="39" customFormat="1" ht="30" customHeight="1" thickBot="1" x14ac:dyDescent="0.3">
      <c r="B179" s="129" t="s">
        <v>61</v>
      </c>
      <c r="C179" s="137">
        <v>5</v>
      </c>
      <c r="D179" s="137"/>
      <c r="E179" s="130" t="s">
        <v>62</v>
      </c>
      <c r="F179" s="131">
        <v>45784</v>
      </c>
      <c r="G179" s="132" t="s">
        <v>80</v>
      </c>
      <c r="H179" s="151"/>
    </row>
    <row r="180" spans="2:8" s="39" customFormat="1" ht="30" customHeight="1" thickBot="1" x14ac:dyDescent="0.3">
      <c r="B180" s="61" t="s">
        <v>63</v>
      </c>
      <c r="C180" s="134" t="s">
        <v>64</v>
      </c>
      <c r="D180" s="133"/>
      <c r="E180" s="61" t="s">
        <v>65</v>
      </c>
      <c r="F180" s="247" t="s">
        <v>66</v>
      </c>
      <c r="G180" s="248"/>
      <c r="H180" s="151"/>
    </row>
    <row r="181" spans="2:8" s="43" customFormat="1" ht="27" x14ac:dyDescent="0.3">
      <c r="B181" s="40" t="s">
        <v>104</v>
      </c>
      <c r="C181" s="41">
        <v>1</v>
      </c>
      <c r="D181" s="125" t="str">
        <f xml:space="preserve"> IF(C181="","",setValueToTime(C181))</f>
        <v xml:space="preserve"> 5 min</v>
      </c>
      <c r="E181" s="42" t="s">
        <v>105</v>
      </c>
      <c r="F181" s="253"/>
      <c r="G181" s="254"/>
      <c r="H181" s="152"/>
    </row>
    <row r="182" spans="2:8" s="43" customFormat="1" ht="27" x14ac:dyDescent="0.3">
      <c r="B182" s="45" t="s">
        <v>56</v>
      </c>
      <c r="C182" s="45">
        <v>30</v>
      </c>
      <c r="D182" s="127" t="str">
        <f t="shared" ref="D182" si="36" xml:space="preserve"> IF(C182="","",setValueToTime(C182))</f>
        <v>2h 30 min</v>
      </c>
      <c r="E182" s="192" t="s">
        <v>106</v>
      </c>
      <c r="F182" s="249" t="s">
        <v>99</v>
      </c>
      <c r="G182" s="250"/>
      <c r="H182" s="152"/>
    </row>
    <row r="183" spans="2:8" s="43" customFormat="1" ht="27" x14ac:dyDescent="0.3">
      <c r="B183" s="45" t="s">
        <v>56</v>
      </c>
      <c r="C183" s="45">
        <v>1</v>
      </c>
      <c r="D183" s="126" t="str">
        <f t="shared" ref="D183:D184" si="37" xml:space="preserve"> IF(C183="","",setValueToTime(C183))</f>
        <v xml:space="preserve"> 5 min</v>
      </c>
      <c r="E183" s="46" t="s">
        <v>107</v>
      </c>
      <c r="F183" s="249" t="s">
        <v>108</v>
      </c>
      <c r="G183" s="250"/>
      <c r="H183" s="152"/>
    </row>
    <row r="184" spans="2:8" s="43" customFormat="1" ht="54" x14ac:dyDescent="0.3">
      <c r="B184" s="44" t="s">
        <v>70</v>
      </c>
      <c r="C184" s="45">
        <v>3</v>
      </c>
      <c r="D184" s="126" t="str">
        <f t="shared" si="37"/>
        <v xml:space="preserve"> 15 min</v>
      </c>
      <c r="E184" s="46" t="s">
        <v>109</v>
      </c>
      <c r="F184" s="249" t="s">
        <v>110</v>
      </c>
      <c r="G184" s="250"/>
      <c r="H184" s="152"/>
    </row>
    <row r="185" spans="2:8" s="43" customFormat="1" x14ac:dyDescent="0.3">
      <c r="B185" s="45"/>
      <c r="C185" s="45"/>
      <c r="D185" s="127"/>
      <c r="E185" s="46"/>
      <c r="F185" s="249" t="s">
        <v>111</v>
      </c>
      <c r="G185" s="250"/>
      <c r="H185" s="152"/>
    </row>
    <row r="186" spans="2:8" s="43" customFormat="1" x14ac:dyDescent="0.3">
      <c r="B186" s="45" t="s">
        <v>58</v>
      </c>
      <c r="C186" s="45">
        <v>12</v>
      </c>
      <c r="D186" s="127" t="str">
        <f xml:space="preserve"> IF(C186="","",setValueToTime(C186))</f>
        <v>1h</v>
      </c>
      <c r="E186" s="46"/>
      <c r="F186" s="258"/>
      <c r="G186" s="250"/>
      <c r="H186" s="152"/>
    </row>
    <row r="187" spans="2:8" s="43" customFormat="1" ht="27.75" thickBot="1" x14ac:dyDescent="0.35">
      <c r="B187" s="44" t="s">
        <v>57</v>
      </c>
      <c r="C187" s="45">
        <v>1</v>
      </c>
      <c r="D187" s="126" t="str">
        <f t="shared" ref="D187" si="38" xml:space="preserve"> IF(C187="","",setValueToTime(C187))</f>
        <v xml:space="preserve"> 5 min</v>
      </c>
      <c r="E187" s="46" t="s">
        <v>87</v>
      </c>
      <c r="F187" s="249" t="s">
        <v>101</v>
      </c>
      <c r="G187" s="250"/>
      <c r="H187" s="152"/>
    </row>
    <row r="188" spans="2:8" s="43" customFormat="1" ht="15" thickBot="1" x14ac:dyDescent="0.35">
      <c r="B188" s="135" t="s">
        <v>68</v>
      </c>
      <c r="C188" s="66">
        <f>SUM(C181:C187)</f>
        <v>48</v>
      </c>
      <c r="D188" s="135" t="str">
        <f xml:space="preserve"> setValueToTime(C188)</f>
        <v>4h</v>
      </c>
      <c r="E188" s="96"/>
      <c r="F188" s="245"/>
      <c r="G188" s="246"/>
      <c r="H188" s="152"/>
    </row>
    <row r="189" spans="2:8" s="43" customFormat="1" ht="15" thickBot="1" x14ac:dyDescent="0.35">
      <c r="B189" s="60"/>
      <c r="C189" s="60"/>
      <c r="D189" s="60"/>
      <c r="E189" s="60"/>
      <c r="F189" s="60"/>
      <c r="G189" s="60"/>
      <c r="H189" s="152"/>
    </row>
    <row r="190" spans="2:8" s="39" customFormat="1" ht="30" customHeight="1" thickBot="1" x14ac:dyDescent="0.3">
      <c r="B190" s="129" t="s">
        <v>61</v>
      </c>
      <c r="C190" s="137">
        <v>4</v>
      </c>
      <c r="D190" s="137"/>
      <c r="E190" s="130" t="s">
        <v>62</v>
      </c>
      <c r="F190" s="131">
        <v>45782</v>
      </c>
      <c r="G190" s="132" t="s">
        <v>90</v>
      </c>
      <c r="H190" s="151"/>
    </row>
    <row r="191" spans="2:8" s="39" customFormat="1" ht="30" customHeight="1" thickBot="1" x14ac:dyDescent="0.3">
      <c r="B191" s="61" t="s">
        <v>63</v>
      </c>
      <c r="C191" s="134" t="s">
        <v>64</v>
      </c>
      <c r="D191" s="133"/>
      <c r="E191" s="61" t="s">
        <v>65</v>
      </c>
      <c r="F191" s="247" t="s">
        <v>66</v>
      </c>
      <c r="G191" s="248"/>
      <c r="H191" s="151"/>
    </row>
    <row r="192" spans="2:8" s="43" customFormat="1" ht="27" x14ac:dyDescent="0.3">
      <c r="B192" s="45" t="s">
        <v>56</v>
      </c>
      <c r="C192" s="45">
        <v>12</v>
      </c>
      <c r="D192" s="127" t="str">
        <f t="shared" ref="D192" si="39" xml:space="preserve"> IF(C192="","",setValueToTime(C192))</f>
        <v>1h</v>
      </c>
      <c r="E192" s="171" t="s">
        <v>100</v>
      </c>
      <c r="F192" s="257" t="s">
        <v>99</v>
      </c>
      <c r="G192" s="259"/>
      <c r="H192" s="152"/>
    </row>
    <row r="193" spans="2:8" s="43" customFormat="1" ht="14.25" customHeight="1" x14ac:dyDescent="0.3">
      <c r="B193" s="44" t="s">
        <v>58</v>
      </c>
      <c r="C193" s="45">
        <v>16</v>
      </c>
      <c r="D193" s="126" t="str">
        <f t="shared" ref="D193:D194" si="40" xml:space="preserve"> IF(C193="","",setValueToTime(C193))</f>
        <v>1h 20 min</v>
      </c>
      <c r="E193" s="46" t="s">
        <v>103</v>
      </c>
      <c r="F193" s="249" t="s">
        <v>102</v>
      </c>
      <c r="G193" s="260"/>
      <c r="H193" s="152"/>
    </row>
    <row r="194" spans="2:8" s="43" customFormat="1" ht="27" customHeight="1" thickBot="1" x14ac:dyDescent="0.35">
      <c r="B194" s="44" t="s">
        <v>57</v>
      </c>
      <c r="C194" s="45">
        <v>1</v>
      </c>
      <c r="D194" s="126" t="str">
        <f t="shared" si="40"/>
        <v xml:space="preserve"> 5 min</v>
      </c>
      <c r="E194" s="46" t="s">
        <v>87</v>
      </c>
      <c r="F194" s="249" t="s">
        <v>101</v>
      </c>
      <c r="G194" s="260"/>
      <c r="H194" s="152"/>
    </row>
    <row r="195" spans="2:8" s="43" customFormat="1" ht="15" thickBot="1" x14ac:dyDescent="0.35">
      <c r="B195" s="135" t="s">
        <v>68</v>
      </c>
      <c r="C195" s="66">
        <f>SUM(C192:C194)</f>
        <v>29</v>
      </c>
      <c r="D195" s="135" t="str">
        <f xml:space="preserve"> setValueToTime(C195)</f>
        <v>2h 25 min</v>
      </c>
      <c r="E195" s="96"/>
      <c r="F195" s="245"/>
      <c r="G195" s="246"/>
      <c r="H195" s="152"/>
    </row>
    <row r="196" spans="2:8" s="43" customFormat="1" ht="15" thickBot="1" x14ac:dyDescent="0.35">
      <c r="B196" s="60"/>
      <c r="C196" s="60"/>
      <c r="D196" s="60"/>
      <c r="E196" s="60"/>
      <c r="F196" s="60"/>
      <c r="G196" s="60"/>
      <c r="H196" s="152"/>
    </row>
    <row r="197" spans="2:8" s="39" customFormat="1" ht="30" customHeight="1" thickBot="1" x14ac:dyDescent="0.3">
      <c r="B197" s="129" t="s">
        <v>61</v>
      </c>
      <c r="C197" s="137">
        <v>3</v>
      </c>
      <c r="D197" s="137"/>
      <c r="E197" s="130" t="s">
        <v>62</v>
      </c>
      <c r="F197" s="131">
        <v>45782</v>
      </c>
      <c r="G197" s="132" t="s">
        <v>80</v>
      </c>
      <c r="H197" s="151"/>
    </row>
    <row r="198" spans="2:8" s="39" customFormat="1" ht="30" customHeight="1" thickBot="1" x14ac:dyDescent="0.3">
      <c r="B198" s="61" t="s">
        <v>63</v>
      </c>
      <c r="C198" s="134" t="s">
        <v>64</v>
      </c>
      <c r="D198" s="133"/>
      <c r="E198" s="61" t="s">
        <v>65</v>
      </c>
      <c r="F198" s="247" t="s">
        <v>66</v>
      </c>
      <c r="G198" s="248"/>
      <c r="H198" s="151"/>
    </row>
    <row r="199" spans="2:8" s="43" customFormat="1" ht="27" x14ac:dyDescent="0.3">
      <c r="B199" s="45" t="s">
        <v>56</v>
      </c>
      <c r="C199" s="45">
        <v>33</v>
      </c>
      <c r="D199" s="127" t="str">
        <f t="shared" ref="D199" si="41" xml:space="preserve"> IF(C199="","",setValueToTime(C199))</f>
        <v>2h 45 min</v>
      </c>
      <c r="E199" s="171" t="s">
        <v>100</v>
      </c>
      <c r="F199" s="257" t="s">
        <v>99</v>
      </c>
      <c r="G199" s="259"/>
      <c r="H199" s="152"/>
    </row>
    <row r="200" spans="2:8" s="43" customFormat="1" ht="14.25" customHeight="1" x14ac:dyDescent="0.3">
      <c r="B200" s="44" t="s">
        <v>71</v>
      </c>
      <c r="C200" s="45">
        <v>2</v>
      </c>
      <c r="D200" s="126" t="str">
        <f t="shared" ref="D200:D201" si="42" xml:space="preserve"> IF(C200="","",setValueToTime(C200))</f>
        <v xml:space="preserve"> 10 min</v>
      </c>
      <c r="E200" s="46" t="s">
        <v>97</v>
      </c>
      <c r="F200" s="241"/>
      <c r="G200" s="242"/>
      <c r="H200" s="152"/>
    </row>
    <row r="201" spans="2:8" s="43" customFormat="1" ht="27" customHeight="1" thickBot="1" x14ac:dyDescent="0.35">
      <c r="B201" s="44" t="s">
        <v>71</v>
      </c>
      <c r="C201" s="45">
        <v>3</v>
      </c>
      <c r="D201" s="126" t="str">
        <f t="shared" si="42"/>
        <v xml:space="preserve"> 15 min</v>
      </c>
      <c r="E201" s="46" t="s">
        <v>98</v>
      </c>
      <c r="F201" s="241"/>
      <c r="G201" s="242"/>
      <c r="H201" s="152"/>
    </row>
    <row r="202" spans="2:8" s="43" customFormat="1" ht="15" thickBot="1" x14ac:dyDescent="0.35">
      <c r="B202" s="135" t="s">
        <v>68</v>
      </c>
      <c r="C202" s="66">
        <f>SUM(C199:C201)</f>
        <v>38</v>
      </c>
      <c r="D202" s="135" t="str">
        <f xml:space="preserve"> setValueToTime(C202)</f>
        <v>3h 10 min</v>
      </c>
      <c r="E202" s="96"/>
      <c r="F202" s="245"/>
      <c r="G202" s="246"/>
      <c r="H202" s="152"/>
    </row>
    <row r="203" spans="2:8" s="43" customFormat="1" ht="15" thickBot="1" x14ac:dyDescent="0.35">
      <c r="B203" s="60"/>
      <c r="C203" s="60"/>
      <c r="D203" s="60"/>
      <c r="E203" s="60"/>
      <c r="F203" s="60"/>
      <c r="G203" s="60"/>
      <c r="H203" s="152"/>
    </row>
    <row r="204" spans="2:8" s="39" customFormat="1" ht="30" customHeight="1" thickBot="1" x14ac:dyDescent="0.3">
      <c r="B204" s="129" t="s">
        <v>61</v>
      </c>
      <c r="C204" s="137">
        <v>2</v>
      </c>
      <c r="D204" s="137"/>
      <c r="E204" s="130" t="s">
        <v>62</v>
      </c>
      <c r="F204" s="131">
        <v>45779</v>
      </c>
      <c r="G204" s="132" t="s">
        <v>90</v>
      </c>
      <c r="H204" s="151"/>
    </row>
    <row r="205" spans="2:8" s="39" customFormat="1" ht="30" customHeight="1" thickBot="1" x14ac:dyDescent="0.3">
      <c r="B205" s="61" t="s">
        <v>63</v>
      </c>
      <c r="C205" s="134" t="s">
        <v>64</v>
      </c>
      <c r="D205" s="133"/>
      <c r="E205" s="61" t="s">
        <v>65</v>
      </c>
      <c r="F205" s="247" t="s">
        <v>66</v>
      </c>
      <c r="G205" s="248"/>
      <c r="H205" s="151"/>
    </row>
    <row r="206" spans="2:8" s="43" customFormat="1" ht="27" x14ac:dyDescent="0.3">
      <c r="B206" s="45" t="s">
        <v>56</v>
      </c>
      <c r="C206" s="45">
        <v>30</v>
      </c>
      <c r="D206" s="127" t="str">
        <f t="shared" ref="D206" si="43" xml:space="preserve"> IF(C206="","",setValueToTime(C206))</f>
        <v>2h 30 min</v>
      </c>
      <c r="E206" s="171" t="s">
        <v>91</v>
      </c>
      <c r="F206" s="257" t="s">
        <v>99</v>
      </c>
      <c r="G206" s="254"/>
      <c r="H206" s="152"/>
    </row>
    <row r="207" spans="2:8" s="43" customFormat="1" ht="27" x14ac:dyDescent="0.3">
      <c r="B207" s="44" t="s">
        <v>56</v>
      </c>
      <c r="C207" s="45">
        <v>2</v>
      </c>
      <c r="D207" s="126" t="str">
        <f t="shared" ref="D207:D211" si="44" xml:space="preserve"> IF(C207="","",setValueToTime(C207))</f>
        <v xml:space="preserve"> 10 min</v>
      </c>
      <c r="E207" s="171" t="s">
        <v>92</v>
      </c>
      <c r="F207" s="241"/>
      <c r="G207" s="242"/>
      <c r="H207" s="152"/>
    </row>
    <row r="208" spans="2:8" s="43" customFormat="1" ht="27" x14ac:dyDescent="0.3">
      <c r="B208" s="44" t="s">
        <v>57</v>
      </c>
      <c r="C208" s="45">
        <v>1</v>
      </c>
      <c r="D208" s="126" t="str">
        <f t="shared" si="44"/>
        <v xml:space="preserve"> 5 min</v>
      </c>
      <c r="E208" s="171" t="s">
        <v>94</v>
      </c>
      <c r="F208" s="241"/>
      <c r="G208" s="242"/>
      <c r="H208" s="152"/>
    </row>
    <row r="209" spans="2:8" s="43" customFormat="1" x14ac:dyDescent="0.3">
      <c r="B209" s="44" t="s">
        <v>58</v>
      </c>
      <c r="C209" s="45">
        <v>1</v>
      </c>
      <c r="D209" s="126" t="str">
        <f t="shared" si="44"/>
        <v xml:space="preserve"> 5 min</v>
      </c>
      <c r="E209" s="171" t="s">
        <v>93</v>
      </c>
      <c r="F209" s="241"/>
      <c r="G209" s="242"/>
      <c r="H209" s="152"/>
    </row>
    <row r="210" spans="2:8" s="43" customFormat="1" x14ac:dyDescent="0.3">
      <c r="B210" s="44" t="s">
        <v>58</v>
      </c>
      <c r="C210" s="45">
        <v>1</v>
      </c>
      <c r="D210" s="127" t="str">
        <f t="shared" si="44"/>
        <v xml:space="preserve"> 5 min</v>
      </c>
      <c r="E210" s="171" t="s">
        <v>94</v>
      </c>
      <c r="F210" s="241"/>
      <c r="G210" s="242"/>
      <c r="H210" s="152"/>
    </row>
    <row r="211" spans="2:8" s="43" customFormat="1" ht="41.25" thickBot="1" x14ac:dyDescent="0.35">
      <c r="B211" s="45" t="s">
        <v>95</v>
      </c>
      <c r="C211" s="45">
        <v>3</v>
      </c>
      <c r="D211" s="127" t="str">
        <f t="shared" si="44"/>
        <v xml:space="preserve"> 15 min</v>
      </c>
      <c r="E211" s="171" t="s">
        <v>96</v>
      </c>
      <c r="F211" s="241"/>
      <c r="G211" s="242"/>
      <c r="H211" s="152"/>
    </row>
    <row r="212" spans="2:8" s="43" customFormat="1" ht="15" thickBot="1" x14ac:dyDescent="0.35">
      <c r="B212" s="135" t="s">
        <v>68</v>
      </c>
      <c r="C212" s="66">
        <f>SUM(C206:C211)</f>
        <v>38</v>
      </c>
      <c r="D212" s="135" t="str">
        <f xml:space="preserve"> setValueToTime(C212)</f>
        <v>3h 10 min</v>
      </c>
      <c r="E212" s="96"/>
      <c r="F212" s="245"/>
      <c r="G212" s="246"/>
      <c r="H212" s="152"/>
    </row>
    <row r="213" spans="2:8" s="43" customFormat="1" ht="15" thickBot="1" x14ac:dyDescent="0.35">
      <c r="B213" s="60"/>
      <c r="C213" s="60"/>
      <c r="D213" s="60"/>
      <c r="E213" s="60"/>
      <c r="F213" s="60"/>
      <c r="G213" s="60"/>
      <c r="H213" s="152"/>
    </row>
    <row r="214" spans="2:8" s="39" customFormat="1" ht="30" customHeight="1" thickBot="1" x14ac:dyDescent="0.3">
      <c r="B214" s="129" t="s">
        <v>61</v>
      </c>
      <c r="C214" s="137">
        <v>1</v>
      </c>
      <c r="D214" s="137"/>
      <c r="E214" s="130" t="s">
        <v>62</v>
      </c>
      <c r="F214" s="131" t="s">
        <v>83</v>
      </c>
      <c r="G214" s="132" t="s">
        <v>80</v>
      </c>
      <c r="H214" s="151"/>
    </row>
    <row r="215" spans="2:8" s="39" customFormat="1" ht="30" customHeight="1" thickBot="1" x14ac:dyDescent="0.3">
      <c r="B215" s="61" t="s">
        <v>63</v>
      </c>
      <c r="C215" s="134" t="s">
        <v>64</v>
      </c>
      <c r="D215" s="133"/>
      <c r="E215" s="61" t="s">
        <v>65</v>
      </c>
      <c r="F215" s="247" t="s">
        <v>66</v>
      </c>
      <c r="G215" s="248"/>
      <c r="H215" s="151"/>
    </row>
    <row r="216" spans="2:8" s="43" customFormat="1" ht="27" x14ac:dyDescent="0.3">
      <c r="B216" s="40" t="s">
        <v>84</v>
      </c>
      <c r="C216" s="41">
        <v>9</v>
      </c>
      <c r="D216" s="125" t="str">
        <f xml:space="preserve"> IF(C216="","",setValueToTime(C216))</f>
        <v xml:space="preserve"> 45 min</v>
      </c>
      <c r="E216" s="42" t="s">
        <v>85</v>
      </c>
      <c r="F216" s="239"/>
      <c r="G216" s="240"/>
      <c r="H216" s="152"/>
    </row>
    <row r="217" spans="2:8" s="43" customFormat="1" ht="27" x14ac:dyDescent="0.3">
      <c r="B217" s="44" t="s">
        <v>71</v>
      </c>
      <c r="C217" s="45">
        <v>9</v>
      </c>
      <c r="D217" s="126" t="str">
        <f t="shared" ref="D217:D220" si="45" xml:space="preserve"> IF(C217="","",setValueToTime(C217))</f>
        <v xml:space="preserve"> 45 min</v>
      </c>
      <c r="E217" s="46" t="s">
        <v>86</v>
      </c>
      <c r="F217" s="241"/>
      <c r="G217" s="242"/>
      <c r="H217" s="152"/>
    </row>
    <row r="218" spans="2:8" s="43" customFormat="1" ht="27" x14ac:dyDescent="0.3">
      <c r="B218" s="44" t="s">
        <v>56</v>
      </c>
      <c r="C218" s="45">
        <v>24</v>
      </c>
      <c r="D218" s="126" t="str">
        <f t="shared" si="45"/>
        <v>2h</v>
      </c>
      <c r="E218" s="171" t="s">
        <v>88</v>
      </c>
      <c r="F218" s="241"/>
      <c r="G218" s="242"/>
      <c r="H218" s="152"/>
    </row>
    <row r="219" spans="2:8" s="43" customFormat="1" ht="27" x14ac:dyDescent="0.3">
      <c r="B219" s="44" t="s">
        <v>57</v>
      </c>
      <c r="C219" s="45">
        <v>1</v>
      </c>
      <c r="D219" s="126" t="str">
        <f t="shared" si="45"/>
        <v xml:space="preserve"> 5 min</v>
      </c>
      <c r="E219" s="46" t="s">
        <v>87</v>
      </c>
      <c r="F219" s="241"/>
      <c r="G219" s="242"/>
      <c r="H219" s="152"/>
    </row>
    <row r="220" spans="2:8" s="43" customFormat="1" ht="27.75" thickBot="1" x14ac:dyDescent="0.35">
      <c r="B220" s="45" t="s">
        <v>56</v>
      </c>
      <c r="C220" s="45">
        <v>5</v>
      </c>
      <c r="D220" s="127" t="str">
        <f t="shared" si="45"/>
        <v xml:space="preserve"> 25 min</v>
      </c>
      <c r="E220" s="171" t="s">
        <v>89</v>
      </c>
      <c r="F220" s="249" t="s">
        <v>99</v>
      </c>
      <c r="G220" s="250"/>
      <c r="H220" s="152"/>
    </row>
    <row r="221" spans="2:8" s="43" customFormat="1" ht="15" thickBot="1" x14ac:dyDescent="0.35">
      <c r="B221" s="135" t="s">
        <v>68</v>
      </c>
      <c r="C221" s="66">
        <f>SUM(C216:C220)</f>
        <v>48</v>
      </c>
      <c r="D221" s="135" t="str">
        <f xml:space="preserve"> setValueToTime(C221)</f>
        <v>4h</v>
      </c>
      <c r="E221" s="96"/>
      <c r="F221" s="245"/>
      <c r="G221" s="246"/>
      <c r="H221" s="152"/>
    </row>
    <row r="222" spans="2:8" s="43" customFormat="1" x14ac:dyDescent="0.3">
      <c r="B222" s="60"/>
      <c r="C222" s="60"/>
      <c r="D222" s="60"/>
      <c r="E222" s="60"/>
      <c r="F222" s="60"/>
      <c r="G222" s="60"/>
      <c r="H222" s="152"/>
    </row>
  </sheetData>
  <sheetProtection formatRows="0" insertRows="0" insertHyperlinks="0" deleteRows="0" selectLockedCells="1"/>
  <mergeCells count="167">
    <mergeCell ref="F15:G15"/>
    <mergeCell ref="F10:G10"/>
    <mergeCell ref="F11:G11"/>
    <mergeCell ref="F67:G67"/>
    <mergeCell ref="F62:G62"/>
    <mergeCell ref="F18:G18"/>
    <mergeCell ref="F19:G19"/>
    <mergeCell ref="F20:G20"/>
    <mergeCell ref="F21:G21"/>
    <mergeCell ref="F12:G12"/>
    <mergeCell ref="F13:G13"/>
    <mergeCell ref="F14:G14"/>
    <mergeCell ref="F22:G22"/>
    <mergeCell ref="F39:G39"/>
    <mergeCell ref="F40:G40"/>
    <mergeCell ref="F41:G41"/>
    <mergeCell ref="F42:G42"/>
    <mergeCell ref="F43:G43"/>
    <mergeCell ref="F29:G29"/>
    <mergeCell ref="F25:G25"/>
    <mergeCell ref="F26:G26"/>
    <mergeCell ref="F27:G27"/>
    <mergeCell ref="F28:G28"/>
    <mergeCell ref="F182:G182"/>
    <mergeCell ref="F183:G183"/>
    <mergeCell ref="F198:G198"/>
    <mergeCell ref="F199:G199"/>
    <mergeCell ref="F200:G200"/>
    <mergeCell ref="F115:G115"/>
    <mergeCell ref="F116:G116"/>
    <mergeCell ref="F122:G122"/>
    <mergeCell ref="F123:G123"/>
    <mergeCell ref="F124:G124"/>
    <mergeCell ref="F125:G125"/>
    <mergeCell ref="F117:G117"/>
    <mergeCell ref="F118:G118"/>
    <mergeCell ref="F119:G119"/>
    <mergeCell ref="F149:G149"/>
    <mergeCell ref="F176:G176"/>
    <mergeCell ref="F177:G177"/>
    <mergeCell ref="F155:G155"/>
    <mergeCell ref="F156:G156"/>
    <mergeCell ref="F157:G157"/>
    <mergeCell ref="F158:G158"/>
    <mergeCell ref="F159:G159"/>
    <mergeCell ref="F160:G160"/>
    <mergeCell ref="F161:G161"/>
    <mergeCell ref="F221:G221"/>
    <mergeCell ref="F215:G215"/>
    <mergeCell ref="F216:G216"/>
    <mergeCell ref="F217:G217"/>
    <mergeCell ref="F218:G218"/>
    <mergeCell ref="F219:G219"/>
    <mergeCell ref="F220:G220"/>
    <mergeCell ref="F207:G207"/>
    <mergeCell ref="F208:G208"/>
    <mergeCell ref="F209:G209"/>
    <mergeCell ref="F210:G210"/>
    <mergeCell ref="F211:G211"/>
    <mergeCell ref="F212:G212"/>
    <mergeCell ref="F201:G201"/>
    <mergeCell ref="F202:G202"/>
    <mergeCell ref="F150:G150"/>
    <mergeCell ref="F151:G151"/>
    <mergeCell ref="F152:G152"/>
    <mergeCell ref="F205:G205"/>
    <mergeCell ref="F206:G206"/>
    <mergeCell ref="F184:G184"/>
    <mergeCell ref="F191:G191"/>
    <mergeCell ref="F192:G192"/>
    <mergeCell ref="F193:G193"/>
    <mergeCell ref="F194:G194"/>
    <mergeCell ref="F195:G195"/>
    <mergeCell ref="F168:G168"/>
    <mergeCell ref="F164:G164"/>
    <mergeCell ref="F165:G165"/>
    <mergeCell ref="F166:G166"/>
    <mergeCell ref="F167:G167"/>
    <mergeCell ref="F185:G185"/>
    <mergeCell ref="F186:G186"/>
    <mergeCell ref="F187:G187"/>
    <mergeCell ref="F188:G188"/>
    <mergeCell ref="F180:G180"/>
    <mergeCell ref="F181:G181"/>
    <mergeCell ref="F104:G104"/>
    <mergeCell ref="F172:G172"/>
    <mergeCell ref="F173:G173"/>
    <mergeCell ref="F174:G174"/>
    <mergeCell ref="F175:G175"/>
    <mergeCell ref="F147:G147"/>
    <mergeCell ref="F135:G135"/>
    <mergeCell ref="F136:G136"/>
    <mergeCell ref="F137:G137"/>
    <mergeCell ref="F138:G138"/>
    <mergeCell ref="F139:G139"/>
    <mergeCell ref="F140:G140"/>
    <mergeCell ref="F141:G141"/>
    <mergeCell ref="F148:G148"/>
    <mergeCell ref="F142:G142"/>
    <mergeCell ref="F145:G145"/>
    <mergeCell ref="F146:G146"/>
    <mergeCell ref="F171:G171"/>
    <mergeCell ref="F112:G112"/>
    <mergeCell ref="F97:G97"/>
    <mergeCell ref="F98:G98"/>
    <mergeCell ref="F99:G99"/>
    <mergeCell ref="F83:G83"/>
    <mergeCell ref="F78:G78"/>
    <mergeCell ref="F79:G79"/>
    <mergeCell ref="F80:G80"/>
    <mergeCell ref="F81:G81"/>
    <mergeCell ref="F82:G82"/>
    <mergeCell ref="F105:G105"/>
    <mergeCell ref="F100:G100"/>
    <mergeCell ref="F101:G101"/>
    <mergeCell ref="F95:G95"/>
    <mergeCell ref="F109:G109"/>
    <mergeCell ref="F106:G106"/>
    <mergeCell ref="F107:G107"/>
    <mergeCell ref="F108:G108"/>
    <mergeCell ref="F86:G86"/>
    <mergeCell ref="F87:G87"/>
    <mergeCell ref="F88:G88"/>
    <mergeCell ref="F89:G89"/>
    <mergeCell ref="F90:G90"/>
    <mergeCell ref="F91:G91"/>
    <mergeCell ref="F56:G56"/>
    <mergeCell ref="F96:G96"/>
    <mergeCell ref="F57:G57"/>
    <mergeCell ref="F58:G58"/>
    <mergeCell ref="F59:G59"/>
    <mergeCell ref="F60:G60"/>
    <mergeCell ref="F61:G61"/>
    <mergeCell ref="F68:G68"/>
    <mergeCell ref="F65:G65"/>
    <mergeCell ref="F66:G66"/>
    <mergeCell ref="F75:G75"/>
    <mergeCell ref="F92:G92"/>
    <mergeCell ref="F132:G132"/>
    <mergeCell ref="F129:G129"/>
    <mergeCell ref="F130:G130"/>
    <mergeCell ref="F131:G131"/>
    <mergeCell ref="F126:G126"/>
    <mergeCell ref="F113:G113"/>
    <mergeCell ref="F114:G114"/>
    <mergeCell ref="F36:G36"/>
    <mergeCell ref="F32:G32"/>
    <mergeCell ref="F33:G33"/>
    <mergeCell ref="F34:G34"/>
    <mergeCell ref="F35:G35"/>
    <mergeCell ref="F52:G52"/>
    <mergeCell ref="F47:G47"/>
    <mergeCell ref="F48:G48"/>
    <mergeCell ref="F49:G49"/>
    <mergeCell ref="F50:G50"/>
    <mergeCell ref="F51:G51"/>
    <mergeCell ref="F44:G44"/>
    <mergeCell ref="F71:G71"/>
    <mergeCell ref="F72:G72"/>
    <mergeCell ref="F73:G73"/>
    <mergeCell ref="F74:G74"/>
    <mergeCell ref="F55:G55"/>
    <mergeCell ref="F7:G7"/>
    <mergeCell ref="F3:G3"/>
    <mergeCell ref="F4:G4"/>
    <mergeCell ref="F5:G5"/>
    <mergeCell ref="F6:G6"/>
  </mergeCells>
  <phoneticPr fontId="0" type="noConversion"/>
  <conditionalFormatting sqref="C221">
    <cfRule type="cellIs" dxfId="28" priority="27" operator="greaterThan">
      <formula>60</formula>
    </cfRule>
  </conditionalFormatting>
  <conditionalFormatting sqref="C212">
    <cfRule type="cellIs" dxfId="27" priority="26" operator="greaterThan">
      <formula>60</formula>
    </cfRule>
  </conditionalFormatting>
  <conditionalFormatting sqref="C202">
    <cfRule type="cellIs" dxfId="26" priority="25" operator="greaterThan">
      <formula>60</formula>
    </cfRule>
  </conditionalFormatting>
  <conditionalFormatting sqref="C195">
    <cfRule type="cellIs" dxfId="25" priority="24" operator="greaterThan">
      <formula>60</formula>
    </cfRule>
  </conditionalFormatting>
  <conditionalFormatting sqref="C188">
    <cfRule type="cellIs" dxfId="24" priority="23" operator="greaterThan">
      <formula>60</formula>
    </cfRule>
  </conditionalFormatting>
  <conditionalFormatting sqref="C177">
    <cfRule type="cellIs" dxfId="23" priority="22" operator="greaterThan">
      <formula>60</formula>
    </cfRule>
  </conditionalFormatting>
  <conditionalFormatting sqref="C168">
    <cfRule type="cellIs" dxfId="22" priority="21" operator="greaterThan">
      <formula>60</formula>
    </cfRule>
  </conditionalFormatting>
  <conditionalFormatting sqref="C161">
    <cfRule type="cellIs" dxfId="21" priority="20" operator="greaterThan">
      <formula>60</formula>
    </cfRule>
  </conditionalFormatting>
  <conditionalFormatting sqref="C152">
    <cfRule type="cellIs" dxfId="20" priority="19" operator="greaterThan">
      <formula>60</formula>
    </cfRule>
  </conditionalFormatting>
  <conditionalFormatting sqref="C142">
    <cfRule type="cellIs" dxfId="19" priority="18" operator="greaterThan">
      <formula>60</formula>
    </cfRule>
  </conditionalFormatting>
  <conditionalFormatting sqref="C132">
    <cfRule type="cellIs" dxfId="18" priority="17" operator="greaterThan">
      <formula>60</formula>
    </cfRule>
  </conditionalFormatting>
  <conditionalFormatting sqref="C126">
    <cfRule type="cellIs" dxfId="17" priority="16" operator="greaterThan">
      <formula>60</formula>
    </cfRule>
  </conditionalFormatting>
  <conditionalFormatting sqref="C119">
    <cfRule type="cellIs" dxfId="16" priority="15" operator="greaterThan">
      <formula>60</formula>
    </cfRule>
  </conditionalFormatting>
  <conditionalFormatting sqref="C109">
    <cfRule type="cellIs" dxfId="15" priority="14" operator="greaterThan">
      <formula>60</formula>
    </cfRule>
  </conditionalFormatting>
  <conditionalFormatting sqref="C101">
    <cfRule type="cellIs" dxfId="14" priority="13" operator="greaterThan">
      <formula>60</formula>
    </cfRule>
  </conditionalFormatting>
  <conditionalFormatting sqref="C92">
    <cfRule type="cellIs" dxfId="13" priority="12" operator="greaterThan">
      <formula>60</formula>
    </cfRule>
  </conditionalFormatting>
  <conditionalFormatting sqref="C83">
    <cfRule type="cellIs" dxfId="12" priority="11" operator="greaterThan">
      <formula>60</formula>
    </cfRule>
  </conditionalFormatting>
  <conditionalFormatting sqref="C75">
    <cfRule type="cellIs" dxfId="11" priority="10" operator="greaterThan">
      <formula>60</formula>
    </cfRule>
  </conditionalFormatting>
  <conditionalFormatting sqref="C68">
    <cfRule type="cellIs" dxfId="10" priority="9" operator="greaterThan">
      <formula>60</formula>
    </cfRule>
  </conditionalFormatting>
  <conditionalFormatting sqref="C62">
    <cfRule type="cellIs" dxfId="9" priority="8" operator="greaterThan">
      <formula>60</formula>
    </cfRule>
  </conditionalFormatting>
  <conditionalFormatting sqref="C52">
    <cfRule type="cellIs" dxfId="8" priority="7" operator="greaterThan">
      <formula>60</formula>
    </cfRule>
  </conditionalFormatting>
  <conditionalFormatting sqref="C44">
    <cfRule type="cellIs" dxfId="7" priority="6" operator="greaterThan">
      <formula>60</formula>
    </cfRule>
  </conditionalFormatting>
  <conditionalFormatting sqref="C36">
    <cfRule type="cellIs" dxfId="6" priority="5" operator="greaterThan">
      <formula>60</formula>
    </cfRule>
  </conditionalFormatting>
  <conditionalFormatting sqref="C29">
    <cfRule type="cellIs" dxfId="5" priority="4" operator="greaterThan">
      <formula>60</formula>
    </cfRule>
  </conditionalFormatting>
  <conditionalFormatting sqref="C22">
    <cfRule type="cellIs" dxfId="4" priority="3" operator="greaterThan">
      <formula>60</formula>
    </cfRule>
  </conditionalFormatting>
  <conditionalFormatting sqref="C15">
    <cfRule type="cellIs" dxfId="3" priority="2" operator="greaterThan">
      <formula>60</formula>
    </cfRule>
  </conditionalFormatting>
  <conditionalFormatting sqref="C7">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216:C220 C206:C211 C199:C201 C192:C194 C181:C187 C172:C176 C165:C167 C156:C160 C146:C151 C136:C141 C130:C131 C123:C125 C113:C118 C105:C108 C96:C100 C87:C91 C79:C82 C72:C74 C66:C67 C56:C61 C48:C51 C40:C43 C33:C35 C26:C28 C19:C21 C11:C14 C4:C6"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21 C212 C202 C195 C188 C177 C168 C161 C152 C142 C132 C126 C119 C109 C101 C92 C83 C75 C68 C62 C52 C44 C36 C29 C22 C15 C7" xr:uid="{362A2729-E50A-43BF-8794-39FBF091B966}">
      <formula1>0</formula1>
      <formula2>60</formula2>
    </dataValidation>
  </dataValidations>
  <hyperlinks>
    <hyperlink ref="F206" r:id="rId1" xr:uid="{12887341-368F-4919-8FF9-77CD3FB517D9}"/>
    <hyperlink ref="F220" r:id="rId2" xr:uid="{F9855F73-5C98-4E18-B6D1-3AC6E283E362}"/>
    <hyperlink ref="F199" r:id="rId3" xr:uid="{2F0D0CFB-1110-414D-9A0B-B67BEFB9434D}"/>
    <hyperlink ref="F192" r:id="rId4" xr:uid="{CAD0D519-DD64-4838-9671-1C468CDA9C32}"/>
    <hyperlink ref="F194" r:id="rId5" xr:uid="{16261777-5B34-4725-90FA-DD39F3C8C7CE}"/>
    <hyperlink ref="F193" r:id="rId6" xr:uid="{902FC26C-0B51-4DE2-9894-E7AC98620F63}"/>
    <hyperlink ref="F183" r:id="rId7" xr:uid="{95AE8E8A-15F3-4EA5-BA74-A3991703D63F}"/>
    <hyperlink ref="F182" r:id="rId8" xr:uid="{EEAC2FB7-7C73-490B-B621-7034064F6A8D}"/>
    <hyperlink ref="F187" r:id="rId9" xr:uid="{B2EE3D3D-8C10-48E0-A965-BDE9BB681B6E}"/>
    <hyperlink ref="F184" r:id="rId10" xr:uid="{D0CF9172-5DCE-405A-BADE-A28BC12613E4}"/>
    <hyperlink ref="F185" r:id="rId11" xr:uid="{1FF17422-17CA-44FF-AA4D-19147B516303}"/>
    <hyperlink ref="F172" r:id="rId12" xr:uid="{F5666A2C-9345-4681-A4AE-6CDEFD451EF0}"/>
    <hyperlink ref="F175" r:id="rId13" xr:uid="{0A38ED83-43A6-40AA-B3D2-1A5FCDBA47F7}"/>
    <hyperlink ref="F176" r:id="rId14" xr:uid="{FDF0B071-ED1E-4865-85C8-D0B3B100B631}"/>
    <hyperlink ref="F149" r:id="rId15" xr:uid="{7BF07213-1DAA-4BE8-9820-2E4AED94E6F9}"/>
    <hyperlink ref="F158" r:id="rId16" xr:uid="{B835A83F-4BE3-4EDD-8666-E1E2CE223E31}"/>
    <hyperlink ref="F151" r:id="rId17" xr:uid="{FE2562AE-16BB-4BA0-9C76-EE3D5D97C444}"/>
    <hyperlink ref="F157" r:id="rId18" xr:uid="{E00BA919-86C4-43D3-9AA0-45A14A86493D}"/>
    <hyperlink ref="F139" r:id="rId19" xr:uid="{BD1E45F5-95AB-4A96-A96B-A23A6319B3DD}"/>
    <hyperlink ref="F138" r:id="rId20" xr:uid="{11A98000-C909-4F25-A9E1-F0484B123E68}"/>
    <hyperlink ref="F118" r:id="rId21" xr:uid="{F1AB19E4-6764-4D0B-912C-0BCB312B6010}"/>
    <hyperlink ref="F116" r:id="rId22" xr:uid="{3195F3E0-C3B9-4FD9-9BCE-5905126D3C2A}"/>
    <hyperlink ref="F91" r:id="rId23" xr:uid="{94B38E14-9660-49B7-9786-D10A71733740}"/>
    <hyperlink ref="F89" r:id="rId24" xr:uid="{9098F789-08BB-41CA-8694-C6EF79B53493}"/>
    <hyperlink ref="F61" r:id="rId25" xr:uid="{07565C2D-89AF-4082-B283-1E1E7A9537A6}"/>
    <hyperlink ref="F59" r:id="rId26" xr:uid="{C03B3ABE-9B94-41FC-9304-C206537EB647}"/>
    <hyperlink ref="F60" r:id="rId27" xr:uid="{476DE0DB-FE72-4B84-80EF-2A19A2C764E7}"/>
    <hyperlink ref="F49" r:id="rId28" xr:uid="{2E65AF45-E913-49C9-81A5-0199BA20C109}"/>
    <hyperlink ref="F43" r:id="rId29" xr:uid="{C5B96981-0E04-4F11-B192-A51CDF8CDED7}"/>
    <hyperlink ref="F33" r:id="rId30" xr:uid="{B4BBE414-50B8-4C51-BB35-EFB38EDA55CB}"/>
    <hyperlink ref="F35" r:id="rId31" xr:uid="{23225D3A-6A54-46AC-B387-D9BCADA0345C}"/>
    <hyperlink ref="F34" r:id="rId32" xr:uid="{949E88A7-2225-4B2F-802C-F9E0EB1F5F54}"/>
    <hyperlink ref="F27" r:id="rId33" xr:uid="{8584F1D5-391D-44DD-88BB-849EECD7D991}"/>
    <hyperlink ref="F20" r:id="rId34" xr:uid="{6361EAE8-3E55-4F8C-948B-9090D6A14137}"/>
    <hyperlink ref="F14" r:id="rId35" xr:uid="{6F29AB39-F218-44DE-9C4E-F9951D4BF0D0}"/>
    <hyperlink ref="F12" r:id="rId36" xr:uid="{1CBDA211-973A-4635-A9F7-763939A5DA3D}"/>
    <hyperlink ref="F13" r:id="rId37" xr:uid="{5A3BF867-54B6-49D9-9530-CED53D3080EC}"/>
    <hyperlink ref="F21" r:id="rId38" xr:uid="{CDE8BC61-E5F9-499E-ACEE-1A70DCA43F35}"/>
    <hyperlink ref="F11" r:id="rId39" xr:uid="{81327F7D-53BF-4787-B3BB-E7FA86097A9D}"/>
    <hyperlink ref="F5" r:id="rId40" xr:uid="{A9E1E2AC-9C41-46DB-A1BB-9F55E3B25EF4}"/>
  </hyperlinks>
  <printOptions horizontalCentered="1" verticalCentered="1"/>
  <pageMargins left="0.25" right="0.25" top="0.75" bottom="0.75" header="0.3" footer="0.3"/>
  <pageSetup paperSize="9" fitToHeight="0" orientation="landscape" r:id="rId41"/>
  <headerFooter alignWithMargins="0">
    <oddHeader>&amp;L&amp;"ETML,Normal"&amp;14ETML&amp;R&amp;14&amp;USection Informatique</oddHeader>
    <oddFooter>&amp;L&amp;14&amp;D - Morgan Dussault&amp;C&amp;14&amp;F - &amp;A&amp;R&amp;14&amp;P/&amp;N</oddFooter>
  </headerFooter>
  <drawing r:id="rId42"/>
  <legacyDrawing r:id="rId43"/>
  <controls>
    <mc:AlternateContent xmlns:mc="http://schemas.openxmlformats.org/markup-compatibility/2006">
      <mc:Choice Requires="x14">
        <control shapeId="9224" r:id="rId44" name="btnRapatriementJournal">
          <controlPr defaultSize="0" autoLine="0" r:id="rId45">
            <anchor moveWithCells="1">
              <from>
                <xdr:col>1</xdr:col>
                <xdr:colOff>104775</xdr:colOff>
                <xdr:row>0</xdr:row>
                <xdr:rowOff>85725</xdr:rowOff>
              </from>
              <to>
                <xdr:col>2</xdr:col>
                <xdr:colOff>457200</xdr:colOff>
                <xdr:row>0</xdr:row>
                <xdr:rowOff>552450</xdr:rowOff>
              </to>
            </anchor>
          </controlPr>
        </control>
      </mc:Choice>
      <mc:Fallback>
        <control shapeId="9224" r:id="rId44" name="btnRapatriementJournal"/>
      </mc:Fallback>
    </mc:AlternateContent>
    <mc:AlternateContent xmlns:mc="http://schemas.openxmlformats.org/markup-compatibility/2006">
      <mc:Choice Requires="x14">
        <control shapeId="9220" r:id="rId46" name="btnAjoutSeqJournal">
          <controlPr defaultSize="0" autoLine="0" r:id="rId47">
            <anchor moveWithCells="1">
              <from>
                <xdr:col>3</xdr:col>
                <xdr:colOff>85725</xdr:colOff>
                <xdr:row>0</xdr:row>
                <xdr:rowOff>85725</xdr:rowOff>
              </from>
              <to>
                <xdr:col>4</xdr:col>
                <xdr:colOff>762000</xdr:colOff>
                <xdr:row>0</xdr:row>
                <xdr:rowOff>561975</xdr:rowOff>
              </to>
            </anchor>
          </controlPr>
        </control>
      </mc:Choice>
      <mc:Fallback>
        <control shapeId="9220" r:id="rId4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B216:B220 B206:B211 B199:B201 B192:B194 B173:B176 B166 B158:B160 B146:B151 B137:B141 B130:B131 B124:B125 B113:B118 B106:B108 B97:B100 B87:B91 B80:B82 B72:B74 B67 B56:B61 B49:B51 B41:B43 B33:B35 B27:B28 B20:B21 B11:B14 B5:B6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9"/>
      <c r="B10" s="229"/>
      <c r="C10" s="229"/>
      <c r="D10" s="229"/>
      <c r="E10" s="229"/>
      <c r="F10" s="229"/>
      <c r="G10" s="229"/>
      <c r="H10" s="229"/>
      <c r="I10" s="229"/>
      <c r="J10" s="229"/>
      <c r="K10" s="229"/>
      <c r="L10" s="229"/>
      <c r="M10" s="229"/>
      <c r="N10" s="229"/>
      <c r="O10" s="229"/>
      <c r="P10" s="229"/>
      <c r="Q10" s="229"/>
      <c r="R10" s="229"/>
      <c r="S10" s="229"/>
      <c r="T10" s="229"/>
      <c r="U10" s="229"/>
      <c r="V10" s="229"/>
      <c r="W10" s="229"/>
      <c r="X10" s="229"/>
      <c r="Y10" s="229"/>
      <c r="Z10" s="229"/>
      <c r="AA10" s="229"/>
      <c r="AB10" s="229"/>
      <c r="AC10" s="229"/>
      <c r="AD10" s="229"/>
      <c r="AE10" s="229"/>
      <c r="AF10" s="229"/>
      <c r="AG10" s="229"/>
      <c r="AH10" s="229"/>
      <c r="AI10" s="229"/>
      <c r="AJ10" s="229"/>
      <c r="AK10" s="229"/>
      <c r="AL10" s="229"/>
      <c r="AM10" s="229"/>
      <c r="AN10" s="229"/>
      <c r="AO10" s="229"/>
      <c r="AP10" s="229"/>
      <c r="AQ10" s="229"/>
      <c r="AR10" s="229"/>
      <c r="AS10" s="229"/>
      <c r="AT10" s="229"/>
      <c r="AU10" s="229"/>
      <c r="AV10" s="229"/>
      <c r="AW10" s="229"/>
      <c r="AX10" s="229"/>
      <c r="AY10" s="229"/>
      <c r="AZ10" s="229"/>
      <c r="BA10" s="229"/>
      <c r="BB10" s="229"/>
      <c r="BC10" s="229"/>
      <c r="BD10" s="229"/>
      <c r="BE10" s="229"/>
      <c r="BF10" s="229"/>
      <c r="BG10" s="229"/>
      <c r="BH10" s="229"/>
      <c r="BI10" s="73"/>
    </row>
    <row r="11" spans="1:61" ht="18" x14ac:dyDescent="0.25">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73"/>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73"/>
    </row>
    <row r="13" spans="1:61" ht="18.75" thickBot="1" x14ac:dyDescent="0.3">
      <c r="A13" s="206" t="s">
        <v>61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73"/>
    </row>
    <row r="14" spans="1:61" ht="15.75" thickBot="1" x14ac:dyDescent="0.35">
      <c r="A14" s="81"/>
      <c r="B14" s="82"/>
      <c r="C14" s="82"/>
      <c r="D14" s="82"/>
      <c r="E14" s="205" t="s">
        <v>44</v>
      </c>
      <c r="F14" s="205"/>
      <c r="G14" s="205"/>
      <c r="H14" s="205"/>
      <c r="I14" s="82"/>
      <c r="J14" s="82"/>
      <c r="K14" s="203" t="s">
        <v>45</v>
      </c>
      <c r="L14" s="203"/>
      <c r="M14" s="203"/>
      <c r="N14" s="203"/>
      <c r="O14" s="102"/>
      <c r="P14" s="102"/>
      <c r="Q14" s="205" t="s">
        <v>46</v>
      </c>
      <c r="R14" s="205"/>
      <c r="S14" s="205"/>
      <c r="T14" s="205"/>
      <c r="U14" s="82"/>
      <c r="V14" s="82"/>
      <c r="W14" s="203" t="s">
        <v>47</v>
      </c>
      <c r="X14" s="203"/>
      <c r="Y14" s="203"/>
      <c r="Z14" s="203"/>
      <c r="AA14" s="102"/>
      <c r="AB14" s="102"/>
      <c r="AC14" s="205" t="s">
        <v>48</v>
      </c>
      <c r="AD14" s="205"/>
      <c r="AE14" s="205"/>
      <c r="AF14" s="205"/>
      <c r="AG14" s="82"/>
      <c r="AH14" s="82"/>
      <c r="AI14" s="203" t="s">
        <v>49</v>
      </c>
      <c r="AJ14" s="203"/>
      <c r="AK14" s="203"/>
      <c r="AL14" s="203"/>
      <c r="AM14" s="102"/>
      <c r="AN14" s="102"/>
      <c r="AO14" s="205" t="s">
        <v>50</v>
      </c>
      <c r="AP14" s="205"/>
      <c r="AQ14" s="205"/>
      <c r="AR14" s="205"/>
      <c r="AS14" s="82"/>
      <c r="AT14" s="82"/>
      <c r="AU14" s="203" t="s">
        <v>51</v>
      </c>
      <c r="AV14" s="203"/>
      <c r="AW14" s="203"/>
      <c r="AX14" s="203"/>
      <c r="AY14" s="102"/>
      <c r="AZ14" s="102"/>
      <c r="BA14" s="205" t="s">
        <v>52</v>
      </c>
      <c r="BB14" s="205"/>
      <c r="BC14" s="205"/>
      <c r="BD14" s="205"/>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7" t="s">
        <v>66</v>
      </c>
      <c r="G2" s="238"/>
      <c r="H2" s="151"/>
    </row>
    <row r="3" spans="2:8" s="43" customFormat="1" x14ac:dyDescent="0.3">
      <c r="B3" s="40" t="s">
        <v>67</v>
      </c>
      <c r="C3" s="41"/>
      <c r="D3" s="125" t="str">
        <f xml:space="preserve"> IF(C3="","",setValueToTime(C3))</f>
        <v/>
      </c>
      <c r="E3" s="42"/>
      <c r="F3" s="239"/>
      <c r="G3" s="240"/>
      <c r="H3" s="152"/>
    </row>
    <row r="4" spans="2:8" s="43" customFormat="1" x14ac:dyDescent="0.3">
      <c r="B4" s="44"/>
      <c r="C4" s="45"/>
      <c r="D4" s="126" t="str">
        <f t="shared" ref="D4:D10" si="0" xml:space="preserve"> IF(C4="","",setValueToTime(C4))</f>
        <v/>
      </c>
      <c r="E4" s="46"/>
      <c r="F4" s="241"/>
      <c r="G4" s="242"/>
      <c r="H4" s="152"/>
    </row>
    <row r="5" spans="2:8" s="43" customFormat="1" x14ac:dyDescent="0.3">
      <c r="B5" s="44"/>
      <c r="C5" s="45"/>
      <c r="D5" s="126" t="str">
        <f t="shared" si="0"/>
        <v/>
      </c>
      <c r="E5" s="46"/>
      <c r="F5" s="241"/>
      <c r="G5" s="242"/>
      <c r="H5" s="152"/>
    </row>
    <row r="6" spans="2:8" s="43" customFormat="1" x14ac:dyDescent="0.3">
      <c r="B6" s="44"/>
      <c r="C6" s="45"/>
      <c r="D6" s="126" t="str">
        <f t="shared" si="0"/>
        <v/>
      </c>
      <c r="E6" s="46"/>
      <c r="F6" s="241"/>
      <c r="G6" s="242"/>
      <c r="H6" s="152"/>
    </row>
    <row r="7" spans="2:8" s="43" customFormat="1" x14ac:dyDescent="0.3">
      <c r="B7" s="44"/>
      <c r="C7" s="45"/>
      <c r="D7" s="127" t="str">
        <f t="shared" si="0"/>
        <v/>
      </c>
      <c r="E7" s="46"/>
      <c r="F7" s="241"/>
      <c r="G7" s="242"/>
      <c r="H7" s="152"/>
    </row>
    <row r="8" spans="2:8" s="43" customFormat="1" x14ac:dyDescent="0.3">
      <c r="B8" s="44"/>
      <c r="C8" s="45"/>
      <c r="D8" s="127" t="str">
        <f t="shared" si="0"/>
        <v/>
      </c>
      <c r="E8" s="46"/>
      <c r="F8" s="241"/>
      <c r="G8" s="242"/>
      <c r="H8" s="152"/>
    </row>
    <row r="9" spans="2:8" s="43" customFormat="1" x14ac:dyDescent="0.3">
      <c r="B9" s="44"/>
      <c r="C9" s="45"/>
      <c r="D9" s="127" t="str">
        <f t="shared" si="0"/>
        <v/>
      </c>
      <c r="E9" s="46"/>
      <c r="F9" s="241"/>
      <c r="G9" s="242"/>
      <c r="H9" s="152"/>
    </row>
    <row r="10" spans="2:8" s="43" customFormat="1" ht="15" thickBot="1" x14ac:dyDescent="0.35">
      <c r="B10" s="44"/>
      <c r="C10" s="47"/>
      <c r="D10" s="128" t="str">
        <f t="shared" si="0"/>
        <v/>
      </c>
      <c r="E10" s="48"/>
      <c r="F10" s="243"/>
      <c r="G10" s="244"/>
      <c r="H10" s="152"/>
    </row>
    <row r="11" spans="2:8" s="43" customFormat="1" ht="15" thickBot="1" x14ac:dyDescent="0.35">
      <c r="B11" s="86" t="s">
        <v>68</v>
      </c>
      <c r="C11" s="67">
        <f>SUM(C3:C10)</f>
        <v>0</v>
      </c>
      <c r="D11" s="86" t="str">
        <f xml:space="preserve"> setValueToTime(C11)</f>
        <v/>
      </c>
      <c r="E11" s="95"/>
      <c r="F11" s="235"/>
      <c r="G11" s="236"/>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7" t="s">
        <v>66</v>
      </c>
      <c r="G2" s="248"/>
      <c r="H2" s="151"/>
    </row>
    <row r="3" spans="2:8" s="43" customFormat="1" x14ac:dyDescent="0.3">
      <c r="B3" s="40"/>
      <c r="C3" s="41"/>
      <c r="D3" s="125" t="str">
        <f xml:space="preserve"> IF(C3="","",setValueToTime(C3))</f>
        <v/>
      </c>
      <c r="E3" s="42"/>
      <c r="F3" s="239"/>
      <c r="G3" s="240"/>
      <c r="H3" s="152"/>
    </row>
    <row r="4" spans="2:8" s="43" customFormat="1" x14ac:dyDescent="0.3">
      <c r="B4" s="44"/>
      <c r="C4" s="45"/>
      <c r="D4" s="126" t="str">
        <f t="shared" ref="D4:D10" si="0" xml:space="preserve"> IF(C4="","",setValueToTime(C4))</f>
        <v/>
      </c>
      <c r="E4" s="46"/>
      <c r="F4" s="241"/>
      <c r="G4" s="242"/>
      <c r="H4" s="152"/>
    </row>
    <row r="5" spans="2:8" s="43" customFormat="1" x14ac:dyDescent="0.3">
      <c r="B5" s="44"/>
      <c r="C5" s="45"/>
      <c r="D5" s="126" t="str">
        <f t="shared" si="0"/>
        <v/>
      </c>
      <c r="E5" s="46"/>
      <c r="F5" s="241"/>
      <c r="G5" s="242"/>
      <c r="H5" s="152"/>
    </row>
    <row r="6" spans="2:8" s="43" customFormat="1" x14ac:dyDescent="0.3">
      <c r="B6" s="44"/>
      <c r="C6" s="45"/>
      <c r="D6" s="126" t="str">
        <f t="shared" si="0"/>
        <v/>
      </c>
      <c r="E6" s="46"/>
      <c r="F6" s="241"/>
      <c r="G6" s="242"/>
      <c r="H6" s="152"/>
    </row>
    <row r="7" spans="2:8" s="43" customFormat="1" x14ac:dyDescent="0.3">
      <c r="B7" s="45"/>
      <c r="C7" s="45"/>
      <c r="D7" s="127" t="str">
        <f t="shared" si="0"/>
        <v/>
      </c>
      <c r="E7" s="46"/>
      <c r="F7" s="241"/>
      <c r="G7" s="242"/>
      <c r="H7" s="152"/>
    </row>
    <row r="8" spans="2:8" s="43" customFormat="1" x14ac:dyDescent="0.3">
      <c r="B8" s="45"/>
      <c r="C8" s="45"/>
      <c r="D8" s="127" t="str">
        <f t="shared" si="0"/>
        <v/>
      </c>
      <c r="E8" s="46"/>
      <c r="F8" s="241"/>
      <c r="G8" s="242"/>
      <c r="H8" s="152"/>
    </row>
    <row r="9" spans="2:8" s="43" customFormat="1" x14ac:dyDescent="0.3">
      <c r="B9" s="45"/>
      <c r="C9" s="45"/>
      <c r="D9" s="127" t="str">
        <f t="shared" si="0"/>
        <v/>
      </c>
      <c r="E9" s="46"/>
      <c r="F9" s="241"/>
      <c r="G9" s="242"/>
      <c r="H9" s="152"/>
    </row>
    <row r="10" spans="2:8" s="43" customFormat="1" ht="15" thickBot="1" x14ac:dyDescent="0.35">
      <c r="B10" s="47"/>
      <c r="C10" s="47"/>
      <c r="D10" s="128" t="str">
        <f t="shared" si="0"/>
        <v/>
      </c>
      <c r="E10" s="48"/>
      <c r="F10" s="243"/>
      <c r="G10" s="244"/>
      <c r="H10" s="152"/>
    </row>
    <row r="11" spans="2:8" s="43" customFormat="1" ht="15" thickBot="1" x14ac:dyDescent="0.35">
      <c r="B11" s="135" t="s">
        <v>68</v>
      </c>
      <c r="C11" s="66">
        <f>SUM(C3:C10)</f>
        <v>0</v>
      </c>
      <c r="D11" s="135" t="str">
        <f xml:space="preserve"> setValueToTime(C11)</f>
        <v/>
      </c>
      <c r="E11" s="96"/>
      <c r="F11" s="245"/>
      <c r="G11" s="246"/>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 Dussault</cp:lastModifiedBy>
  <cp:revision/>
  <cp:lastPrinted>2025-05-28T13:59:15Z</cp:lastPrinted>
  <dcterms:created xsi:type="dcterms:W3CDTF">1996-10-21T11:03:58Z</dcterms:created>
  <dcterms:modified xsi:type="dcterms:W3CDTF">2025-06-02T08:20:48Z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