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2C8FA58A-99E7-48C3-AE36-0A607BB5B0E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2" l="1"/>
  <c r="C16" i="12"/>
  <c r="C26" i="12"/>
  <c r="C32" i="12"/>
  <c r="C39" i="12"/>
  <c r="C47" i="12"/>
  <c r="C56" i="12"/>
  <c r="C65" i="12"/>
  <c r="C73" i="12"/>
  <c r="C83" i="12"/>
  <c r="C90" i="12"/>
  <c r="C96" i="12"/>
  <c r="C106" i="12"/>
  <c r="C116" i="12"/>
  <c r="C125" i="12"/>
  <c r="C132" i="12"/>
  <c r="C141" i="12"/>
  <c r="D140" i="12"/>
  <c r="C152" i="12"/>
  <c r="C159" i="12"/>
  <c r="C166" i="12"/>
  <c r="C176" i="12"/>
  <c r="D78" i="12"/>
  <c r="D146" i="12"/>
  <c r="D141" i="12"/>
  <c r="D60" i="12"/>
  <c r="D30" i="12"/>
  <c r="D38" i="12"/>
  <c r="D115" i="12"/>
  <c r="D156" i="12"/>
  <c r="D80" i="12"/>
  <c r="D138" i="12"/>
  <c r="D54" i="12"/>
  <c r="D95" i="12"/>
  <c r="D61" i="12"/>
  <c r="D43" i="12"/>
  <c r="D172" i="12"/>
  <c r="D46" i="12"/>
  <c r="D131" i="12"/>
  <c r="D170" i="12"/>
  <c r="D12" i="12"/>
  <c r="D71" i="12"/>
  <c r="D70" i="12"/>
  <c r="D120" i="12"/>
  <c r="D37" i="12"/>
  <c r="D65" i="12"/>
  <c r="D63" i="12"/>
  <c r="D106" i="12"/>
  <c r="D123" i="12"/>
  <c r="D72" i="12"/>
  <c r="D31" i="12"/>
  <c r="D94" i="12"/>
  <c r="D77" i="12"/>
  <c r="D53" i="12"/>
  <c r="D14" i="12"/>
  <c r="D139" i="12"/>
  <c r="D88" i="12"/>
  <c r="D36" i="12"/>
  <c r="D25" i="12"/>
  <c r="D166" i="12"/>
  <c r="D121" i="12"/>
  <c r="D26" i="12"/>
  <c r="D158" i="12"/>
  <c r="D6" i="12"/>
  <c r="D87" i="12"/>
  <c r="D173" i="12"/>
  <c r="D130" i="12"/>
  <c r="D39" i="12"/>
  <c r="D145" i="12"/>
  <c r="D103" i="12"/>
  <c r="D20" i="12"/>
  <c r="D147" i="12"/>
  <c r="D105" i="12"/>
  <c r="D16" i="12"/>
  <c r="D47" i="12"/>
  <c r="D122" i="12"/>
  <c r="D175" i="12"/>
  <c r="D174" i="12"/>
  <c r="D32" i="12"/>
  <c r="D112" i="12"/>
  <c r="D52" i="12"/>
  <c r="D51" i="12"/>
  <c r="D44" i="12"/>
  <c r="D83" i="12"/>
  <c r="D165" i="12"/>
  <c r="D150" i="12"/>
  <c r="D15" i="12"/>
  <c r="D82" i="12"/>
  <c r="D13" i="12"/>
  <c r="D5" i="12"/>
  <c r="D163" i="12"/>
  <c r="D137" i="12"/>
  <c r="D104" i="12"/>
  <c r="D102" i="12"/>
  <c r="D111" i="12"/>
  <c r="D55" i="12"/>
  <c r="D125" i="12"/>
  <c r="D164" i="12"/>
  <c r="D129" i="12"/>
  <c r="D23" i="12"/>
  <c r="D79" i="12"/>
  <c r="D56" i="12"/>
  <c r="D113" i="12"/>
  <c r="D116" i="12"/>
  <c r="D69" i="12"/>
  <c r="D4" i="12"/>
  <c r="D101" i="12"/>
  <c r="D114" i="12"/>
  <c r="D81" i="12"/>
  <c r="D176" i="12"/>
  <c r="D157" i="12"/>
  <c r="D90" i="12"/>
  <c r="D22" i="12"/>
  <c r="D24" i="12"/>
  <c r="D73" i="12"/>
  <c r="D132" i="12"/>
  <c r="D136" i="12"/>
  <c r="D62" i="12"/>
  <c r="D45" i="12"/>
  <c r="D21" i="12"/>
  <c r="D171" i="12"/>
  <c r="D100" i="12"/>
  <c r="D89" i="12"/>
  <c r="D110" i="12"/>
  <c r="D124" i="12"/>
  <c r="D64" i="12"/>
  <c r="D159" i="12"/>
  <c r="D96" i="12"/>
  <c r="D151" i="12"/>
  <c r="D148" i="12"/>
  <c r="D152" i="12"/>
  <c r="D7" i="12"/>
  <c r="D8" i="12"/>
  <c r="C185"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83" i="12"/>
  <c r="D181" i="12"/>
  <c r="D180" i="12"/>
  <c r="D182" i="12"/>
  <c r="D184" i="12"/>
  <c r="D18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<sst xmlns="http://schemas.openxmlformats.org/spreadsheetml/2006/main" count="807" uniqueCount="167">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</sst>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0" borderId="3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left" vertical="center" wrapText="1"/>
      <protection locked="0"/>
    </xf>
  </cellXfs>
  <cellStyles count="2">
    <cellStyle name="Lien hypertexte" xfId="1" builtinId="8"/>
    <cellStyle name="Normal" xfId="0" builtinId="0" customBuiltin="1"/>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34" Type="http://schemas.openxmlformats.org/officeDocument/2006/relationships/image" Target="../media/image7.emf"/><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control" Target="../activeX/activeX6.xm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vmlDrawing" Target="../drawings/vmlDrawing4.vm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image" Target="../media/image8.emf"/><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drawing" Target="../drawings/drawing4.x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printerSettings" Target="../printerSettings/printerSettings4.bin"/><Relationship Id="rId35" Type="http://schemas.openxmlformats.org/officeDocument/2006/relationships/control" Target="../activeX/activeX7.xml"/><Relationship Id="rId8"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52h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4"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86"/>
  <sheetViews>
    <sheetView showGridLines="0" tabSelected="1" zoomScaleNormal="100" zoomScaleSheetLayoutView="98" workbookViewId="0">
      <pane ySplit="1" topLeftCell="A2" activePane="bottomLeft" state="frozen"/>
      <selection pane="bottomLeft" activeCell="E4" sqref="E4"/>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22</v>
      </c>
      <c r="D2" s="137"/>
      <c r="E2" s="130" t="s">
        <v>62</v>
      </c>
      <c r="F2" s="131">
        <v>45800</v>
      </c>
      <c r="G2" s="132"/>
      <c r="H2" s="151"/>
    </row>
    <row r="3" spans="2:8" s="39" customFormat="1" ht="30" customHeight="1" thickBot="1" x14ac:dyDescent="0.3">
      <c r="B3" s="61" t="s">
        <v>63</v>
      </c>
      <c r="C3" s="134" t="s">
        <v>64</v>
      </c>
      <c r="D3" s="133"/>
      <c r="E3" s="61" t="s">
        <v>65</v>
      </c>
      <c r="F3" s="245" t="s">
        <v>66</v>
      </c>
      <c r="G3" s="246"/>
      <c r="H3" s="151"/>
    </row>
    <row r="4" spans="2:8" s="43" customFormat="1" ht="81" x14ac:dyDescent="0.3">
      <c r="B4" s="40" t="s">
        <v>104</v>
      </c>
      <c r="C4" s="41">
        <v>2</v>
      </c>
      <c r="D4" s="125" t="str">
        <f xml:space="preserve"> IF(C4="","",setValueToTime(C4))</f>
        <v xml:space="preserve"> 10 min</v>
      </c>
      <c r="E4" s="42" t="s">
        <v>165</v>
      </c>
      <c r="F4" s="237"/>
      <c r="G4" s="238"/>
      <c r="H4" s="152"/>
    </row>
    <row r="5" spans="2:8" s="43" customFormat="1" ht="27" x14ac:dyDescent="0.3">
      <c r="B5" s="45" t="s">
        <v>77</v>
      </c>
      <c r="C5" s="45">
        <v>4</v>
      </c>
      <c r="D5" s="127" t="str">
        <f t="shared" ref="D5" si="0" xml:space="preserve"> IF(C5="","",setValueToTime(C5))</f>
        <v xml:space="preserve"> 20 min</v>
      </c>
      <c r="E5" s="46" t="s">
        <v>164</v>
      </c>
      <c r="F5" s="239"/>
      <c r="G5" s="240"/>
      <c r="H5" s="152"/>
    </row>
    <row r="6" spans="2:8" s="43" customFormat="1" ht="27" x14ac:dyDescent="0.3">
      <c r="B6" s="44" t="s">
        <v>71</v>
      </c>
      <c r="C6" s="45">
        <v>18</v>
      </c>
      <c r="D6" s="126" t="str">
        <f t="shared" ref="D6:D7" si="1" xml:space="preserve"> IF(C6="","",setValueToTime(C6))</f>
        <v>1h 30 min</v>
      </c>
      <c r="E6" s="46" t="s">
        <v>166</v>
      </c>
      <c r="F6" s="239"/>
      <c r="G6" s="240"/>
      <c r="H6" s="152"/>
    </row>
    <row r="7" spans="2:8" s="43" customFormat="1" ht="27.75" thickBot="1" x14ac:dyDescent="0.35">
      <c r="B7" s="44" t="s">
        <v>58</v>
      </c>
      <c r="C7" s="45">
        <v>24</v>
      </c>
      <c r="D7" s="126" t="str">
        <f t="shared" si="1"/>
        <v>2h</v>
      </c>
      <c r="E7" s="46" t="s">
        <v>162</v>
      </c>
      <c r="F7" s="247" t="s">
        <v>112</v>
      </c>
      <c r="G7" s="248"/>
      <c r="H7" s="152"/>
    </row>
    <row r="8" spans="2:8" s="43" customFormat="1" ht="15" thickBot="1" x14ac:dyDescent="0.35">
      <c r="B8" s="135" t="s">
        <v>68</v>
      </c>
      <c r="C8" s="66">
        <f>SUM(C4:C7)</f>
        <v>48</v>
      </c>
      <c r="D8" s="135" t="str">
        <f xml:space="preserve"> setValueToTime(C8)</f>
        <v>4h</v>
      </c>
      <c r="E8" s="96"/>
      <c r="F8" s="243"/>
      <c r="G8" s="244"/>
      <c r="H8" s="152"/>
    </row>
    <row r="9" spans="2:8" s="43" customFormat="1" ht="15" thickBot="1" x14ac:dyDescent="0.35">
      <c r="B9" s="60"/>
      <c r="C9" s="60"/>
      <c r="D9" s="60"/>
      <c r="E9" s="60"/>
      <c r="F9" s="60"/>
      <c r="G9" s="60"/>
      <c r="H9" s="152"/>
    </row>
    <row r="10" spans="2:8" s="39" customFormat="1" ht="30" customHeight="1" thickBot="1" x14ac:dyDescent="0.3">
      <c r="B10" s="129" t="s">
        <v>61</v>
      </c>
      <c r="C10" s="137">
        <v>21</v>
      </c>
      <c r="D10" s="137"/>
      <c r="E10" s="130" t="s">
        <v>62</v>
      </c>
      <c r="F10" s="131">
        <v>45799</v>
      </c>
      <c r="G10" s="132" t="s">
        <v>90</v>
      </c>
      <c r="H10" s="151"/>
    </row>
    <row r="11" spans="2:8" s="39" customFormat="1" ht="30" customHeight="1" thickBot="1" x14ac:dyDescent="0.3">
      <c r="B11" s="61" t="s">
        <v>63</v>
      </c>
      <c r="C11" s="134" t="s">
        <v>64</v>
      </c>
      <c r="D11" s="133"/>
      <c r="E11" s="61" t="s">
        <v>65</v>
      </c>
      <c r="F11" s="245" t="s">
        <v>66</v>
      </c>
      <c r="G11" s="246"/>
      <c r="H11" s="151"/>
    </row>
    <row r="12" spans="2:8" s="43" customFormat="1" ht="54" x14ac:dyDescent="0.3">
      <c r="B12" s="40" t="s">
        <v>104</v>
      </c>
      <c r="C12" s="41">
        <v>2</v>
      </c>
      <c r="D12" s="125" t="str">
        <f xml:space="preserve"> IF(C12="","",setValueToTime(C12))</f>
        <v xml:space="preserve"> 10 min</v>
      </c>
      <c r="E12" s="42" t="s">
        <v>161</v>
      </c>
      <c r="F12" s="237"/>
      <c r="G12" s="238"/>
      <c r="H12" s="152"/>
    </row>
    <row r="13" spans="2:8" s="43" customFormat="1" ht="27" x14ac:dyDescent="0.3">
      <c r="B13" s="44" t="s">
        <v>58</v>
      </c>
      <c r="C13" s="45">
        <v>30</v>
      </c>
      <c r="D13" s="126" t="str">
        <f t="shared" ref="D13" si="2" xml:space="preserve"> IF(C13="","",setValueToTime(C13))</f>
        <v>2h 30 min</v>
      </c>
      <c r="E13" s="46" t="s">
        <v>162</v>
      </c>
      <c r="F13" s="247" t="s">
        <v>112</v>
      </c>
      <c r="G13" s="248"/>
      <c r="H13" s="152"/>
    </row>
    <row r="14" spans="2:8" s="43" customFormat="1" ht="27" x14ac:dyDescent="0.3">
      <c r="B14" s="44" t="s">
        <v>58</v>
      </c>
      <c r="C14" s="45">
        <v>5</v>
      </c>
      <c r="D14" s="126" t="str">
        <f t="shared" ref="D14" si="3" xml:space="preserve"> IF(C14="","",setValueToTime(C14))</f>
        <v xml:space="preserve"> 25 min</v>
      </c>
      <c r="E14" s="46" t="s">
        <v>163</v>
      </c>
      <c r="F14" s="239"/>
      <c r="G14" s="240"/>
      <c r="H14" s="152"/>
    </row>
    <row r="15" spans="2:8" s="43" customFormat="1" ht="27.75" thickBot="1" x14ac:dyDescent="0.35">
      <c r="B15" s="44" t="s">
        <v>57</v>
      </c>
      <c r="C15" s="45">
        <v>1</v>
      </c>
      <c r="D15" s="126" t="str">
        <f xml:space="preserve"> IF(C15="","",setValueToTime(C15))</f>
        <v xml:space="preserve"> 5 min</v>
      </c>
      <c r="E15" s="48"/>
      <c r="F15" s="241"/>
      <c r="G15" s="242"/>
      <c r="H15" s="152"/>
    </row>
    <row r="16" spans="2:8" s="43" customFormat="1" ht="15" thickBot="1" x14ac:dyDescent="0.35">
      <c r="B16" s="135" t="s">
        <v>68</v>
      </c>
      <c r="C16" s="66">
        <f>SUM(C12:C15)</f>
        <v>38</v>
      </c>
      <c r="D16" s="135" t="str">
        <f xml:space="preserve"> setValueToTime(C16)</f>
        <v>3h 10 min</v>
      </c>
      <c r="E16" s="96"/>
      <c r="F16" s="243"/>
      <c r="G16" s="244"/>
      <c r="H16" s="152"/>
    </row>
    <row r="17" spans="2:8" s="43" customFormat="1" ht="15" thickBot="1" x14ac:dyDescent="0.35">
      <c r="B17" s="60"/>
      <c r="C17" s="60"/>
      <c r="D17" s="60"/>
      <c r="E17" s="60"/>
      <c r="F17" s="60"/>
      <c r="G17" s="60"/>
      <c r="H17" s="152"/>
    </row>
    <row r="18" spans="2:8" s="39" customFormat="1" ht="30" customHeight="1" thickBot="1" x14ac:dyDescent="0.3">
      <c r="B18" s="129" t="s">
        <v>61</v>
      </c>
      <c r="C18" s="137">
        <v>20</v>
      </c>
      <c r="D18" s="137"/>
      <c r="E18" s="130" t="s">
        <v>62</v>
      </c>
      <c r="F18" s="131">
        <v>45798</v>
      </c>
      <c r="G18" s="132" t="s">
        <v>90</v>
      </c>
      <c r="H18" s="151"/>
    </row>
    <row r="19" spans="2:8" s="39" customFormat="1" ht="30" customHeight="1" thickBot="1" x14ac:dyDescent="0.3">
      <c r="B19" s="61" t="s">
        <v>63</v>
      </c>
      <c r="C19" s="134" t="s">
        <v>64</v>
      </c>
      <c r="D19" s="133"/>
      <c r="E19" s="61" t="s">
        <v>65</v>
      </c>
      <c r="F19" s="245" t="s">
        <v>66</v>
      </c>
      <c r="G19" s="246"/>
      <c r="H19" s="151"/>
    </row>
    <row r="20" spans="2:8" s="43" customFormat="1" ht="27" x14ac:dyDescent="0.3">
      <c r="B20" s="45" t="s">
        <v>77</v>
      </c>
      <c r="C20" s="45">
        <v>19</v>
      </c>
      <c r="D20" s="127" t="str">
        <f t="shared" ref="D20" si="4" xml:space="preserve"> IF(C20="","",setValueToTime(C20))</f>
        <v>1h 35 min</v>
      </c>
      <c r="E20" s="46" t="s">
        <v>158</v>
      </c>
      <c r="F20" s="249"/>
      <c r="G20" s="250"/>
      <c r="H20" s="152"/>
    </row>
    <row r="21" spans="2:8" s="43" customFormat="1" ht="27" x14ac:dyDescent="0.3">
      <c r="B21" s="44" t="s">
        <v>75</v>
      </c>
      <c r="C21" s="45">
        <v>10</v>
      </c>
      <c r="D21" s="126" t="str">
        <f t="shared" ref="D21:D25" si="5" xml:space="preserve"> IF(C21="","",setValueToTime(C21))</f>
        <v xml:space="preserve"> 50 min</v>
      </c>
      <c r="E21" s="46" t="s">
        <v>159</v>
      </c>
      <c r="F21" s="256"/>
      <c r="G21" s="257"/>
      <c r="H21" s="152"/>
    </row>
    <row r="22" spans="2:8" s="43" customFormat="1" ht="40.5" x14ac:dyDescent="0.3">
      <c r="B22" s="44" t="s">
        <v>81</v>
      </c>
      <c r="C22" s="45">
        <v>5</v>
      </c>
      <c r="D22" s="126" t="str">
        <f t="shared" si="5"/>
        <v xml:space="preserve"> 25 min</v>
      </c>
      <c r="E22" s="46" t="s">
        <v>157</v>
      </c>
      <c r="F22" s="256"/>
      <c r="G22" s="257"/>
      <c r="H22" s="152"/>
    </row>
    <row r="23" spans="2:8" s="43" customFormat="1" ht="54" x14ac:dyDescent="0.3">
      <c r="B23" s="44" t="s">
        <v>76</v>
      </c>
      <c r="C23" s="45">
        <v>1</v>
      </c>
      <c r="D23" s="126" t="str">
        <f t="shared" si="5"/>
        <v xml:space="preserve"> 5 min</v>
      </c>
      <c r="E23" s="46" t="s">
        <v>136</v>
      </c>
      <c r="F23" s="258" t="s">
        <v>160</v>
      </c>
      <c r="G23" s="257"/>
      <c r="H23" s="152"/>
    </row>
    <row r="24" spans="2:8" s="43" customFormat="1" x14ac:dyDescent="0.3">
      <c r="B24" s="44" t="s">
        <v>58</v>
      </c>
      <c r="C24" s="45">
        <v>1</v>
      </c>
      <c r="D24" s="127" t="str">
        <f t="shared" si="5"/>
        <v xml:space="preserve"> 5 min</v>
      </c>
      <c r="E24" s="171" t="s">
        <v>137</v>
      </c>
      <c r="F24" s="258" t="s">
        <v>116</v>
      </c>
      <c r="G24" s="257"/>
      <c r="H24" s="152"/>
    </row>
    <row r="25" spans="2:8" s="43" customFormat="1" ht="41.25" thickBot="1" x14ac:dyDescent="0.35">
      <c r="B25" s="45" t="s">
        <v>95</v>
      </c>
      <c r="C25" s="45">
        <v>2</v>
      </c>
      <c r="D25" s="127" t="str">
        <f t="shared" si="5"/>
        <v xml:space="preserve"> 10 min</v>
      </c>
      <c r="E25" s="171" t="s">
        <v>96</v>
      </c>
      <c r="F25" s="258" t="s">
        <v>115</v>
      </c>
      <c r="G25" s="257"/>
      <c r="H25" s="152"/>
    </row>
    <row r="26" spans="2:8" s="43" customFormat="1" ht="15" thickBot="1" x14ac:dyDescent="0.35">
      <c r="B26" s="135" t="s">
        <v>68</v>
      </c>
      <c r="C26" s="66">
        <f>SUM(C20:C25)</f>
        <v>38</v>
      </c>
      <c r="D26" s="135" t="str">
        <f xml:space="preserve"> setValueToTime(C26)</f>
        <v>3h 10 min</v>
      </c>
      <c r="E26" s="96"/>
      <c r="F26" s="243"/>
      <c r="G26" s="244"/>
      <c r="H26" s="152"/>
    </row>
    <row r="27" spans="2:8" s="43" customFormat="1" ht="15" thickBot="1" x14ac:dyDescent="0.35">
      <c r="B27" s="60"/>
      <c r="C27" s="60"/>
      <c r="D27" s="60"/>
      <c r="E27" s="60"/>
      <c r="F27" s="60"/>
      <c r="G27" s="60"/>
      <c r="H27" s="152"/>
    </row>
    <row r="28" spans="2:8" s="39" customFormat="1" ht="30" customHeight="1" thickBot="1" x14ac:dyDescent="0.3">
      <c r="B28" s="129" t="s">
        <v>61</v>
      </c>
      <c r="C28" s="137">
        <v>19</v>
      </c>
      <c r="D28" s="137"/>
      <c r="E28" s="130" t="s">
        <v>62</v>
      </c>
      <c r="F28" s="131">
        <v>45798</v>
      </c>
      <c r="G28" s="132" t="s">
        <v>80</v>
      </c>
      <c r="H28" s="151"/>
    </row>
    <row r="29" spans="2:8" s="39" customFormat="1" ht="30" customHeight="1" thickBot="1" x14ac:dyDescent="0.3">
      <c r="B29" s="61" t="s">
        <v>63</v>
      </c>
      <c r="C29" s="134" t="s">
        <v>64</v>
      </c>
      <c r="D29" s="133"/>
      <c r="E29" s="61" t="s">
        <v>65</v>
      </c>
      <c r="F29" s="245" t="s">
        <v>66</v>
      </c>
      <c r="G29" s="246"/>
      <c r="H29" s="151"/>
    </row>
    <row r="30" spans="2:8" s="43" customFormat="1" ht="67.5" x14ac:dyDescent="0.3">
      <c r="B30" s="40" t="s">
        <v>104</v>
      </c>
      <c r="C30" s="41">
        <v>2</v>
      </c>
      <c r="D30" s="125" t="str">
        <f xml:space="preserve"> IF(C30="","",setValueToTime(C30))</f>
        <v xml:space="preserve"> 10 min</v>
      </c>
      <c r="E30" s="42" t="s">
        <v>155</v>
      </c>
      <c r="F30" s="237"/>
      <c r="G30" s="238"/>
      <c r="H30" s="152"/>
    </row>
    <row r="31" spans="2:8" s="43" customFormat="1" ht="41.25" thickBot="1" x14ac:dyDescent="0.35">
      <c r="B31" s="45" t="s">
        <v>77</v>
      </c>
      <c r="C31" s="45">
        <v>46</v>
      </c>
      <c r="D31" s="127" t="str">
        <f t="shared" ref="D31" si="6" xml:space="preserve"> IF(C31="","",setValueToTime(C31))</f>
        <v>3h 50 min</v>
      </c>
      <c r="E31" s="46" t="s">
        <v>156</v>
      </c>
      <c r="F31" s="239"/>
      <c r="G31" s="240"/>
      <c r="H31" s="152"/>
    </row>
    <row r="32" spans="2:8" s="43" customFormat="1" ht="15" thickBot="1" x14ac:dyDescent="0.35">
      <c r="B32" s="135" t="s">
        <v>68</v>
      </c>
      <c r="C32" s="66">
        <f>SUM(C30:C31)</f>
        <v>48</v>
      </c>
      <c r="D32" s="135" t="str">
        <f xml:space="preserve"> setValueToTime(C32)</f>
        <v>4h</v>
      </c>
      <c r="E32" s="96"/>
      <c r="F32" s="243"/>
      <c r="G32" s="244"/>
      <c r="H32" s="152"/>
    </row>
    <row r="33" spans="2:8" s="43" customFormat="1" ht="15" thickBot="1" x14ac:dyDescent="0.35">
      <c r="B33" s="60"/>
      <c r="C33" s="60"/>
      <c r="D33" s="60"/>
      <c r="E33" s="60"/>
      <c r="F33" s="60"/>
      <c r="G33" s="60"/>
      <c r="H33" s="152"/>
    </row>
    <row r="34" spans="2:8" s="39" customFormat="1" ht="30" customHeight="1" thickBot="1" x14ac:dyDescent="0.3">
      <c r="B34" s="129" t="s">
        <v>61</v>
      </c>
      <c r="C34" s="137">
        <v>18</v>
      </c>
      <c r="D34" s="137"/>
      <c r="E34" s="130" t="s">
        <v>62</v>
      </c>
      <c r="F34" s="131">
        <v>45796</v>
      </c>
      <c r="G34" s="132" t="s">
        <v>90</v>
      </c>
      <c r="H34" s="151"/>
    </row>
    <row r="35" spans="2:8" s="39" customFormat="1" ht="30" customHeight="1" thickBot="1" x14ac:dyDescent="0.3">
      <c r="B35" s="61" t="s">
        <v>63</v>
      </c>
      <c r="C35" s="134" t="s">
        <v>64</v>
      </c>
      <c r="D35" s="133"/>
      <c r="E35" s="61" t="s">
        <v>65</v>
      </c>
      <c r="F35" s="245" t="s">
        <v>66</v>
      </c>
      <c r="G35" s="246"/>
      <c r="H35" s="151"/>
    </row>
    <row r="36" spans="2:8" s="43" customFormat="1" ht="27" x14ac:dyDescent="0.3">
      <c r="B36" s="45" t="s">
        <v>77</v>
      </c>
      <c r="C36" s="45">
        <v>22</v>
      </c>
      <c r="D36" s="127" t="str">
        <f t="shared" ref="D36:D37" si="7" xml:space="preserve"> IF(C36="","",setValueToTime(C36))</f>
        <v>1h 50 min</v>
      </c>
      <c r="E36" s="46" t="s">
        <v>154</v>
      </c>
      <c r="F36" s="237"/>
      <c r="G36" s="238"/>
      <c r="H36" s="152"/>
    </row>
    <row r="37" spans="2:8" s="43" customFormat="1" x14ac:dyDescent="0.3">
      <c r="B37" s="44" t="s">
        <v>84</v>
      </c>
      <c r="C37" s="45">
        <v>4</v>
      </c>
      <c r="D37" s="126" t="str">
        <f t="shared" si="7"/>
        <v xml:space="preserve"> 20 min</v>
      </c>
      <c r="E37" s="46" t="s">
        <v>151</v>
      </c>
      <c r="F37" s="239"/>
      <c r="G37" s="240"/>
      <c r="H37" s="152"/>
    </row>
    <row r="38" spans="2:8" s="43" customFormat="1" ht="27.75" thickBot="1" x14ac:dyDescent="0.35">
      <c r="B38" s="44" t="s">
        <v>57</v>
      </c>
      <c r="C38" s="45">
        <v>1</v>
      </c>
      <c r="D38" s="126" t="str">
        <f xml:space="preserve"> IF(C38="","",setValueToTime(C38))</f>
        <v xml:space="preserve"> 5 min</v>
      </c>
      <c r="E38" s="48"/>
      <c r="F38" s="241"/>
      <c r="G38" s="242"/>
      <c r="H38" s="152"/>
    </row>
    <row r="39" spans="2:8" s="43" customFormat="1" ht="15" thickBot="1" x14ac:dyDescent="0.35">
      <c r="B39" s="135" t="s">
        <v>68</v>
      </c>
      <c r="C39" s="66">
        <f>SUM(C36:C38)</f>
        <v>27</v>
      </c>
      <c r="D39" s="135" t="str">
        <f xml:space="preserve"> setValueToTime(C39)</f>
        <v>2h 15 min</v>
      </c>
      <c r="E39" s="96"/>
      <c r="F39" s="243"/>
      <c r="G39" s="244"/>
      <c r="H39" s="152"/>
    </row>
    <row r="40" spans="2:8" s="43" customFormat="1" ht="15" thickBot="1" x14ac:dyDescent="0.35">
      <c r="B40" s="60"/>
      <c r="C40" s="60"/>
      <c r="D40" s="60"/>
      <c r="E40" s="60"/>
      <c r="F40" s="60"/>
      <c r="G40" s="60"/>
      <c r="H40" s="152"/>
    </row>
    <row r="41" spans="2:8" s="39" customFormat="1" ht="30" customHeight="1" thickBot="1" x14ac:dyDescent="0.3">
      <c r="B41" s="129" t="s">
        <v>61</v>
      </c>
      <c r="C41" s="137">
        <v>17</v>
      </c>
      <c r="D41" s="137"/>
      <c r="E41" s="130" t="s">
        <v>62</v>
      </c>
      <c r="F41" s="131">
        <v>45796</v>
      </c>
      <c r="G41" s="132" t="s">
        <v>80</v>
      </c>
      <c r="H41" s="151"/>
    </row>
    <row r="42" spans="2:8" s="39" customFormat="1" ht="30" customHeight="1" thickBot="1" x14ac:dyDescent="0.3">
      <c r="B42" s="61" t="s">
        <v>63</v>
      </c>
      <c r="C42" s="134" t="s">
        <v>64</v>
      </c>
      <c r="D42" s="133"/>
      <c r="E42" s="61" t="s">
        <v>65</v>
      </c>
      <c r="F42" s="245" t="s">
        <v>66</v>
      </c>
      <c r="G42" s="246"/>
      <c r="H42" s="151"/>
    </row>
    <row r="43" spans="2:8" s="43" customFormat="1" ht="81" x14ac:dyDescent="0.3">
      <c r="B43" s="40" t="s">
        <v>104</v>
      </c>
      <c r="C43" s="41">
        <v>2</v>
      </c>
      <c r="D43" s="125" t="str">
        <f xml:space="preserve"> IF(C43="","",setValueToTime(C43))</f>
        <v xml:space="preserve"> 10 min</v>
      </c>
      <c r="E43" s="42" t="s">
        <v>150</v>
      </c>
      <c r="F43" s="237"/>
      <c r="G43" s="238"/>
      <c r="H43" s="152"/>
    </row>
    <row r="44" spans="2:8" s="43" customFormat="1" ht="27" x14ac:dyDescent="0.3">
      <c r="B44" s="45" t="s">
        <v>77</v>
      </c>
      <c r="C44" s="45">
        <v>23</v>
      </c>
      <c r="D44" s="127" t="str">
        <f t="shared" ref="D44" si="8" xml:space="preserve"> IF(C44="","",setValueToTime(C44))</f>
        <v>1h 55 min</v>
      </c>
      <c r="E44" s="46" t="s">
        <v>152</v>
      </c>
      <c r="F44" s="239"/>
      <c r="G44" s="240"/>
      <c r="H44" s="152"/>
    </row>
    <row r="45" spans="2:8" s="43" customFormat="1" ht="27" x14ac:dyDescent="0.3">
      <c r="B45" s="45" t="s">
        <v>77</v>
      </c>
      <c r="C45" s="45">
        <v>12</v>
      </c>
      <c r="D45" s="127" t="str">
        <f t="shared" ref="D45:D46" si="9" xml:space="preserve"> IF(C45="","",setValueToTime(C45))</f>
        <v>1h</v>
      </c>
      <c r="E45" s="46" t="s">
        <v>153</v>
      </c>
      <c r="F45" s="239"/>
      <c r="G45" s="240"/>
      <c r="H45" s="152"/>
    </row>
    <row r="46" spans="2:8" s="43" customFormat="1" ht="27.75" thickBot="1" x14ac:dyDescent="0.35">
      <c r="B46" s="44" t="s">
        <v>57</v>
      </c>
      <c r="C46" s="45">
        <v>1</v>
      </c>
      <c r="D46" s="126" t="str">
        <f t="shared" si="9"/>
        <v xml:space="preserve"> 5 min</v>
      </c>
      <c r="E46" s="46"/>
      <c r="F46" s="239"/>
      <c r="G46" s="240"/>
      <c r="H46" s="152"/>
    </row>
    <row r="47" spans="2:8" s="43" customFormat="1" ht="15" thickBot="1" x14ac:dyDescent="0.35">
      <c r="B47" s="135" t="s">
        <v>68</v>
      </c>
      <c r="C47" s="66">
        <f>SUM(C43:C46)</f>
        <v>38</v>
      </c>
      <c r="D47" s="135" t="str">
        <f xml:space="preserve"> setValueToTime(C47)</f>
        <v>3h 10 min</v>
      </c>
      <c r="E47" s="96"/>
      <c r="F47" s="243"/>
      <c r="G47" s="244"/>
      <c r="H47" s="152"/>
    </row>
    <row r="48" spans="2:8" s="43" customFormat="1" ht="15" thickBot="1" x14ac:dyDescent="0.35">
      <c r="B48" s="60"/>
      <c r="C48" s="60"/>
      <c r="D48" s="60"/>
      <c r="E48" s="60"/>
      <c r="F48" s="60"/>
      <c r="G48" s="60"/>
      <c r="H48" s="152"/>
    </row>
    <row r="49" spans="2:8" s="39" customFormat="1" ht="30" customHeight="1" thickBot="1" x14ac:dyDescent="0.3">
      <c r="B49" s="129" t="s">
        <v>61</v>
      </c>
      <c r="C49" s="137">
        <v>16</v>
      </c>
      <c r="D49" s="137"/>
      <c r="E49" s="130" t="s">
        <v>62</v>
      </c>
      <c r="F49" s="131">
        <v>45793</v>
      </c>
      <c r="G49" s="132" t="s">
        <v>90</v>
      </c>
      <c r="H49" s="151"/>
    </row>
    <row r="50" spans="2:8" s="39" customFormat="1" ht="30" customHeight="1" thickBot="1" x14ac:dyDescent="0.3">
      <c r="B50" s="61" t="s">
        <v>63</v>
      </c>
      <c r="C50" s="134" t="s">
        <v>64</v>
      </c>
      <c r="D50" s="133"/>
      <c r="E50" s="61" t="s">
        <v>65</v>
      </c>
      <c r="F50" s="245" t="s">
        <v>66</v>
      </c>
      <c r="G50" s="246"/>
      <c r="H50" s="151"/>
    </row>
    <row r="51" spans="2:8" s="43" customFormat="1" ht="40.5" x14ac:dyDescent="0.3">
      <c r="B51" s="45" t="s">
        <v>77</v>
      </c>
      <c r="C51" s="45">
        <v>20</v>
      </c>
      <c r="D51" s="127" t="str">
        <f t="shared" ref="D51" si="10" xml:space="preserve"> IF(C51="","",setValueToTime(C51))</f>
        <v>1h 40 min</v>
      </c>
      <c r="E51" s="46" t="s">
        <v>147</v>
      </c>
      <c r="F51" s="237"/>
      <c r="G51" s="238"/>
      <c r="H51" s="152"/>
    </row>
    <row r="52" spans="2:8" s="43" customFormat="1" ht="27" x14ac:dyDescent="0.3">
      <c r="B52" s="44" t="s">
        <v>58</v>
      </c>
      <c r="C52" s="45">
        <v>12</v>
      </c>
      <c r="D52" s="126" t="str">
        <f t="shared" ref="D52:D55" si="11" xml:space="preserve"> IF(C52="","",setValueToTime(C52))</f>
        <v>1h</v>
      </c>
      <c r="E52" s="46" t="s">
        <v>149</v>
      </c>
      <c r="F52" s="239"/>
      <c r="G52" s="240"/>
      <c r="H52" s="152"/>
    </row>
    <row r="53" spans="2:8" s="43" customFormat="1" ht="54" x14ac:dyDescent="0.3">
      <c r="B53" s="44" t="s">
        <v>76</v>
      </c>
      <c r="C53" s="45">
        <v>2</v>
      </c>
      <c r="D53" s="126" t="str">
        <f t="shared" si="11"/>
        <v xml:space="preserve"> 10 min</v>
      </c>
      <c r="E53" s="46" t="s">
        <v>136</v>
      </c>
      <c r="F53" s="255" t="s">
        <v>138</v>
      </c>
      <c r="G53" s="240"/>
      <c r="H53" s="152"/>
    </row>
    <row r="54" spans="2:8" s="43" customFormat="1" x14ac:dyDescent="0.3">
      <c r="B54" s="44" t="s">
        <v>58</v>
      </c>
      <c r="C54" s="45">
        <v>1</v>
      </c>
      <c r="D54" s="127" t="str">
        <f t="shared" si="11"/>
        <v xml:space="preserve"> 5 min</v>
      </c>
      <c r="E54" s="171" t="s">
        <v>137</v>
      </c>
      <c r="F54" s="239"/>
      <c r="G54" s="240"/>
      <c r="H54" s="152"/>
    </row>
    <row r="55" spans="2:8" s="43" customFormat="1" ht="41.25" thickBot="1" x14ac:dyDescent="0.35">
      <c r="B55" s="45" t="s">
        <v>95</v>
      </c>
      <c r="C55" s="45">
        <v>3</v>
      </c>
      <c r="D55" s="127" t="str">
        <f t="shared" si="11"/>
        <v xml:space="preserve"> 15 min</v>
      </c>
      <c r="E55" s="171" t="s">
        <v>96</v>
      </c>
      <c r="F55" s="247" t="s">
        <v>115</v>
      </c>
      <c r="G55" s="248"/>
      <c r="H55" s="152"/>
    </row>
    <row r="56" spans="2:8" s="43" customFormat="1" ht="15" thickBot="1" x14ac:dyDescent="0.35">
      <c r="B56" s="135" t="s">
        <v>68</v>
      </c>
      <c r="C56" s="66">
        <f>SUM(C51:C55)</f>
        <v>38</v>
      </c>
      <c r="D56" s="135" t="str">
        <f xml:space="preserve"> setValueToTime(C56)</f>
        <v>3h 10 min</v>
      </c>
      <c r="E56" s="96"/>
      <c r="F56" s="243"/>
      <c r="G56" s="244"/>
      <c r="H56" s="152"/>
    </row>
    <row r="57" spans="2:8" s="43" customFormat="1" ht="15" thickBot="1" x14ac:dyDescent="0.35">
      <c r="B57" s="60"/>
      <c r="C57" s="60"/>
      <c r="D57" s="60"/>
      <c r="E57" s="60"/>
      <c r="F57" s="60"/>
      <c r="G57" s="60"/>
      <c r="H57" s="152"/>
    </row>
    <row r="58" spans="2:8" s="39" customFormat="1" ht="30" customHeight="1" thickBot="1" x14ac:dyDescent="0.3">
      <c r="B58" s="129" t="s">
        <v>61</v>
      </c>
      <c r="C58" s="137">
        <v>15</v>
      </c>
      <c r="D58" s="137"/>
      <c r="E58" s="130" t="s">
        <v>62</v>
      </c>
      <c r="F58" s="131">
        <v>45793</v>
      </c>
      <c r="G58" s="132" t="s">
        <v>80</v>
      </c>
      <c r="H58" s="151"/>
    </row>
    <row r="59" spans="2:8" s="39" customFormat="1" ht="30" customHeight="1" thickBot="1" x14ac:dyDescent="0.3">
      <c r="B59" s="61" t="s">
        <v>63</v>
      </c>
      <c r="C59" s="134" t="s">
        <v>64</v>
      </c>
      <c r="D59" s="133"/>
      <c r="E59" s="61" t="s">
        <v>65</v>
      </c>
      <c r="F59" s="245" t="s">
        <v>66</v>
      </c>
      <c r="G59" s="246"/>
      <c r="H59" s="151"/>
    </row>
    <row r="60" spans="2:8" s="43" customFormat="1" ht="108" x14ac:dyDescent="0.3">
      <c r="B60" s="40" t="s">
        <v>104</v>
      </c>
      <c r="C60" s="41">
        <v>2</v>
      </c>
      <c r="D60" s="125" t="str">
        <f xml:space="preserve"> IF(C60="","",setValueToTime(C60))</f>
        <v xml:space="preserve"> 10 min</v>
      </c>
      <c r="E60" s="42" t="s">
        <v>143</v>
      </c>
      <c r="F60" s="237"/>
      <c r="G60" s="238"/>
      <c r="H60" s="152"/>
    </row>
    <row r="61" spans="2:8" s="43" customFormat="1" ht="54" x14ac:dyDescent="0.3">
      <c r="B61" s="44" t="s">
        <v>75</v>
      </c>
      <c r="C61" s="45">
        <v>3</v>
      </c>
      <c r="D61" s="126" t="str">
        <f t="shared" ref="D61:D64" si="12" xml:space="preserve"> IF(C61="","",setValueToTime(C61))</f>
        <v xml:space="preserve"> 15 min</v>
      </c>
      <c r="E61" s="46" t="s">
        <v>144</v>
      </c>
      <c r="F61" s="239"/>
      <c r="G61" s="240"/>
      <c r="H61" s="152"/>
    </row>
    <row r="62" spans="2:8" s="43" customFormat="1" ht="27" x14ac:dyDescent="0.3">
      <c r="B62" s="44" t="s">
        <v>71</v>
      </c>
      <c r="C62" s="45">
        <v>9</v>
      </c>
      <c r="D62" s="126" t="str">
        <f t="shared" si="12"/>
        <v xml:space="preserve"> 45 min</v>
      </c>
      <c r="E62" s="46" t="s">
        <v>145</v>
      </c>
      <c r="F62" s="239"/>
      <c r="G62" s="240"/>
      <c r="H62" s="152"/>
    </row>
    <row r="63" spans="2:8" s="43" customFormat="1" ht="27" x14ac:dyDescent="0.3">
      <c r="B63" s="44" t="s">
        <v>75</v>
      </c>
      <c r="C63" s="45">
        <v>18</v>
      </c>
      <c r="D63" s="126" t="str">
        <f t="shared" si="12"/>
        <v>1h 30 min</v>
      </c>
      <c r="E63" s="46" t="s">
        <v>146</v>
      </c>
      <c r="F63" s="239"/>
      <c r="G63" s="240"/>
      <c r="H63" s="152"/>
    </row>
    <row r="64" spans="2:8" s="43" customFormat="1" ht="27.75" thickBot="1" x14ac:dyDescent="0.35">
      <c r="B64" s="45" t="s">
        <v>77</v>
      </c>
      <c r="C64" s="45">
        <v>16</v>
      </c>
      <c r="D64" s="127" t="str">
        <f t="shared" si="12"/>
        <v>1h 20 min</v>
      </c>
      <c r="E64" s="46" t="s">
        <v>148</v>
      </c>
      <c r="F64" s="239"/>
      <c r="G64" s="240"/>
      <c r="H64" s="152"/>
    </row>
    <row r="65" spans="2:8" s="43" customFormat="1" ht="15" thickBot="1" x14ac:dyDescent="0.35">
      <c r="B65" s="135" t="s">
        <v>68</v>
      </c>
      <c r="C65" s="66">
        <f>SUM(C60:C64)</f>
        <v>48</v>
      </c>
      <c r="D65" s="135" t="str">
        <f xml:space="preserve"> setValueToTime(C65)</f>
        <v>4h</v>
      </c>
      <c r="E65" s="96"/>
      <c r="F65" s="243"/>
      <c r="G65" s="244"/>
      <c r="H65" s="152"/>
    </row>
    <row r="66" spans="2:8" s="43" customFormat="1" ht="15" thickBot="1" x14ac:dyDescent="0.35">
      <c r="B66" s="60"/>
      <c r="C66" s="60"/>
      <c r="D66" s="60"/>
      <c r="E66" s="60"/>
      <c r="F66" s="60"/>
      <c r="G66" s="60"/>
      <c r="H66" s="152"/>
    </row>
    <row r="67" spans="2:8" s="39" customFormat="1" ht="30" customHeight="1" thickBot="1" x14ac:dyDescent="0.3">
      <c r="B67" s="129" t="s">
        <v>61</v>
      </c>
      <c r="C67" s="137">
        <v>14</v>
      </c>
      <c r="D67" s="137"/>
      <c r="E67" s="130" t="s">
        <v>62</v>
      </c>
      <c r="F67" s="131">
        <v>45792</v>
      </c>
      <c r="G67" s="132" t="s">
        <v>90</v>
      </c>
      <c r="H67" s="151"/>
    </row>
    <row r="68" spans="2:8" s="39" customFormat="1" ht="30" customHeight="1" thickBot="1" x14ac:dyDescent="0.3">
      <c r="B68" s="61" t="s">
        <v>63</v>
      </c>
      <c r="C68" s="134" t="s">
        <v>64</v>
      </c>
      <c r="D68" s="133"/>
      <c r="E68" s="61" t="s">
        <v>65</v>
      </c>
      <c r="F68" s="245" t="s">
        <v>66</v>
      </c>
      <c r="G68" s="246"/>
      <c r="H68" s="151"/>
    </row>
    <row r="69" spans="2:8" s="43" customFormat="1" ht="27" x14ac:dyDescent="0.3">
      <c r="B69" s="40" t="s">
        <v>104</v>
      </c>
      <c r="C69" s="41">
        <v>1</v>
      </c>
      <c r="D69" s="125" t="str">
        <f xml:space="preserve"> IF(C69="","",setValueToTime(C69))</f>
        <v xml:space="preserve"> 5 min</v>
      </c>
      <c r="E69" s="42" t="s">
        <v>105</v>
      </c>
      <c r="F69" s="237"/>
      <c r="G69" s="238"/>
      <c r="H69" s="152"/>
    </row>
    <row r="70" spans="2:8" s="43" customFormat="1" ht="27" x14ac:dyDescent="0.3">
      <c r="B70" s="45" t="s">
        <v>77</v>
      </c>
      <c r="C70" s="45">
        <v>28</v>
      </c>
      <c r="D70" s="126" t="str">
        <f t="shared" ref="D70:D72" si="13" xml:space="preserve"> IF(C70="","",setValueToTime(C70))</f>
        <v>2h 20 min</v>
      </c>
      <c r="E70" s="46" t="s">
        <v>139</v>
      </c>
      <c r="F70" s="239"/>
      <c r="G70" s="240"/>
      <c r="H70" s="152"/>
    </row>
    <row r="71" spans="2:8" s="43" customFormat="1" ht="94.5" x14ac:dyDescent="0.3">
      <c r="B71" s="44" t="s">
        <v>75</v>
      </c>
      <c r="C71" s="45">
        <v>8</v>
      </c>
      <c r="D71" s="126" t="str">
        <f t="shared" si="13"/>
        <v xml:space="preserve"> 40 min</v>
      </c>
      <c r="E71" s="46" t="s">
        <v>140</v>
      </c>
      <c r="F71" s="239"/>
      <c r="G71" s="240"/>
      <c r="H71" s="152"/>
    </row>
    <row r="72" spans="2:8" s="43" customFormat="1" ht="27.75" thickBot="1" x14ac:dyDescent="0.35">
      <c r="B72" s="44" t="s">
        <v>57</v>
      </c>
      <c r="C72" s="45">
        <v>1</v>
      </c>
      <c r="D72" s="126" t="str">
        <f t="shared" si="13"/>
        <v xml:space="preserve"> 5 min</v>
      </c>
      <c r="E72" s="46"/>
      <c r="F72" s="239"/>
      <c r="G72" s="240"/>
      <c r="H72" s="152"/>
    </row>
    <row r="73" spans="2:8" s="43" customFormat="1" ht="15" thickBot="1" x14ac:dyDescent="0.35">
      <c r="B73" s="135" t="s">
        <v>68</v>
      </c>
      <c r="C73" s="66">
        <f>SUM(C69:C72)</f>
        <v>38</v>
      </c>
      <c r="D73" s="135" t="str">
        <f xml:space="preserve"> setValueToTime(C73)</f>
        <v>3h 10 min</v>
      </c>
      <c r="E73" s="96"/>
      <c r="F73" s="243"/>
      <c r="G73" s="244"/>
      <c r="H73" s="152"/>
    </row>
    <row r="74" spans="2:8" s="43" customFormat="1" ht="15" thickBot="1" x14ac:dyDescent="0.35">
      <c r="B74" s="60"/>
      <c r="C74" s="60"/>
      <c r="D74" s="60"/>
      <c r="E74" s="60"/>
      <c r="F74" s="60"/>
      <c r="G74" s="60"/>
      <c r="H74" s="152"/>
    </row>
    <row r="75" spans="2:8" s="39" customFormat="1" ht="30" customHeight="1" thickBot="1" x14ac:dyDescent="0.3">
      <c r="B75" s="129" t="s">
        <v>61</v>
      </c>
      <c r="C75" s="137">
        <v>13</v>
      </c>
      <c r="D75" s="137"/>
      <c r="E75" s="130" t="s">
        <v>62</v>
      </c>
      <c r="F75" s="131">
        <v>45791</v>
      </c>
      <c r="G75" s="132" t="s">
        <v>90</v>
      </c>
      <c r="H75" s="151"/>
    </row>
    <row r="76" spans="2:8" s="39" customFormat="1" ht="30" customHeight="1" thickBot="1" x14ac:dyDescent="0.3">
      <c r="B76" s="61" t="s">
        <v>63</v>
      </c>
      <c r="C76" s="134" t="s">
        <v>64</v>
      </c>
      <c r="D76" s="133"/>
      <c r="E76" s="61" t="s">
        <v>65</v>
      </c>
      <c r="F76" s="245" t="s">
        <v>66</v>
      </c>
      <c r="G76" s="246"/>
      <c r="H76" s="151"/>
    </row>
    <row r="77" spans="2:8" s="43" customFormat="1" ht="27" x14ac:dyDescent="0.3">
      <c r="B77" s="45" t="s">
        <v>74</v>
      </c>
      <c r="C77" s="45">
        <v>8</v>
      </c>
      <c r="D77" s="127" t="str">
        <f t="shared" ref="D77:D78" si="14" xml:space="preserve"> IF(C77="","",setValueToTime(C77))</f>
        <v xml:space="preserve"> 40 min</v>
      </c>
      <c r="E77" s="46" t="s">
        <v>134</v>
      </c>
      <c r="F77" s="237"/>
      <c r="G77" s="238"/>
      <c r="H77" s="152"/>
    </row>
    <row r="78" spans="2:8" s="43" customFormat="1" ht="27" x14ac:dyDescent="0.3">
      <c r="B78" s="45" t="s">
        <v>77</v>
      </c>
      <c r="C78" s="45">
        <v>20</v>
      </c>
      <c r="D78" s="127" t="str">
        <f t="shared" si="14"/>
        <v>1h 40 min</v>
      </c>
      <c r="E78" s="46" t="s">
        <v>133</v>
      </c>
      <c r="F78" s="239"/>
      <c r="G78" s="240"/>
      <c r="H78" s="152"/>
    </row>
    <row r="79" spans="2:8" s="43" customFormat="1" ht="27" x14ac:dyDescent="0.3">
      <c r="B79" s="44" t="s">
        <v>75</v>
      </c>
      <c r="C79" s="45">
        <v>4</v>
      </c>
      <c r="D79" s="126" t="str">
        <f t="shared" ref="D79:D82" si="15" xml:space="preserve"> IF(C79="","",setValueToTime(C79))</f>
        <v xml:space="preserve"> 20 min</v>
      </c>
      <c r="E79" s="46" t="s">
        <v>135</v>
      </c>
      <c r="F79" s="239"/>
      <c r="G79" s="240"/>
      <c r="H79" s="152"/>
    </row>
    <row r="80" spans="2:8" s="43" customFormat="1" ht="54" x14ac:dyDescent="0.3">
      <c r="B80" s="44" t="s">
        <v>76</v>
      </c>
      <c r="C80" s="45">
        <v>2</v>
      </c>
      <c r="D80" s="126" t="str">
        <f t="shared" si="15"/>
        <v xml:space="preserve"> 10 min</v>
      </c>
      <c r="E80" s="46" t="s">
        <v>136</v>
      </c>
      <c r="F80" s="255" t="s">
        <v>138</v>
      </c>
      <c r="G80" s="240"/>
      <c r="H80" s="152"/>
    </row>
    <row r="81" spans="2:8" s="43" customFormat="1" x14ac:dyDescent="0.3">
      <c r="B81" s="44" t="s">
        <v>58</v>
      </c>
      <c r="C81" s="45">
        <v>1</v>
      </c>
      <c r="D81" s="127" t="str">
        <f t="shared" si="15"/>
        <v xml:space="preserve"> 5 min</v>
      </c>
      <c r="E81" s="171" t="s">
        <v>137</v>
      </c>
      <c r="F81" s="239"/>
      <c r="G81" s="240"/>
      <c r="H81" s="152"/>
    </row>
    <row r="82" spans="2:8" s="43" customFormat="1" ht="41.25" thickBot="1" x14ac:dyDescent="0.35">
      <c r="B82" s="45" t="s">
        <v>95</v>
      </c>
      <c r="C82" s="45">
        <v>3</v>
      </c>
      <c r="D82" s="127" t="str">
        <f t="shared" si="15"/>
        <v xml:space="preserve"> 15 min</v>
      </c>
      <c r="E82" s="171" t="s">
        <v>96</v>
      </c>
      <c r="F82" s="247" t="s">
        <v>115</v>
      </c>
      <c r="G82" s="248"/>
      <c r="H82" s="152"/>
    </row>
    <row r="83" spans="2:8" s="43" customFormat="1" ht="15" thickBot="1" x14ac:dyDescent="0.35">
      <c r="B83" s="135" t="s">
        <v>68</v>
      </c>
      <c r="C83" s="66">
        <f>SUM(C77:C82)</f>
        <v>38</v>
      </c>
      <c r="D83" s="135" t="str">
        <f xml:space="preserve"> setValueToTime(C83)</f>
        <v>3h 10 min</v>
      </c>
      <c r="E83" s="96"/>
      <c r="F83" s="243"/>
      <c r="G83" s="244"/>
      <c r="H83" s="152"/>
    </row>
    <row r="84" spans="2:8" s="43" customFormat="1" ht="15" thickBot="1" x14ac:dyDescent="0.35">
      <c r="B84" s="60"/>
      <c r="C84" s="60"/>
      <c r="D84" s="60"/>
      <c r="E84" s="60"/>
      <c r="F84" s="60"/>
      <c r="G84" s="60"/>
      <c r="H84" s="152"/>
    </row>
    <row r="85" spans="2:8" s="39" customFormat="1" ht="30" customHeight="1" thickBot="1" x14ac:dyDescent="0.3">
      <c r="B85" s="129" t="s">
        <v>61</v>
      </c>
      <c r="C85" s="137">
        <v>12</v>
      </c>
      <c r="D85" s="137"/>
      <c r="E85" s="130" t="s">
        <v>62</v>
      </c>
      <c r="F85" s="131">
        <v>45791</v>
      </c>
      <c r="G85" s="132" t="s">
        <v>80</v>
      </c>
      <c r="H85" s="151"/>
    </row>
    <row r="86" spans="2:8" s="39" customFormat="1" ht="30" customHeight="1" thickBot="1" x14ac:dyDescent="0.3">
      <c r="B86" s="61" t="s">
        <v>63</v>
      </c>
      <c r="C86" s="134" t="s">
        <v>64</v>
      </c>
      <c r="D86" s="133"/>
      <c r="E86" s="61" t="s">
        <v>65</v>
      </c>
      <c r="F86" s="245" t="s">
        <v>66</v>
      </c>
      <c r="G86" s="246"/>
      <c r="H86" s="151"/>
    </row>
    <row r="87" spans="2:8" s="43" customFormat="1" ht="27" x14ac:dyDescent="0.3">
      <c r="B87" s="40" t="s">
        <v>104</v>
      </c>
      <c r="C87" s="41">
        <v>1</v>
      </c>
      <c r="D87" s="125" t="str">
        <f xml:space="preserve"> IF(C87="","",setValueToTime(C87))</f>
        <v xml:space="preserve"> 5 min</v>
      </c>
      <c r="E87" s="42" t="s">
        <v>105</v>
      </c>
      <c r="F87" s="237"/>
      <c r="G87" s="238"/>
      <c r="H87" s="152"/>
    </row>
    <row r="88" spans="2:8" s="43" customFormat="1" ht="27" x14ac:dyDescent="0.3">
      <c r="B88" s="45" t="s">
        <v>74</v>
      </c>
      <c r="C88" s="45">
        <v>16</v>
      </c>
      <c r="D88" s="127" t="str">
        <f t="shared" ref="D88:D89" si="16" xml:space="preserve"> IF(C88="","",setValueToTime(C88))</f>
        <v>1h 20 min</v>
      </c>
      <c r="E88" s="46" t="s">
        <v>132</v>
      </c>
      <c r="F88" s="239"/>
      <c r="G88" s="240"/>
      <c r="H88" s="152"/>
    </row>
    <row r="89" spans="2:8" s="43" customFormat="1" ht="27.75" thickBot="1" x14ac:dyDescent="0.35">
      <c r="B89" s="45" t="s">
        <v>77</v>
      </c>
      <c r="C89" s="45">
        <v>31</v>
      </c>
      <c r="D89" s="127" t="str">
        <f t="shared" si="16"/>
        <v>2h 35 min</v>
      </c>
      <c r="E89" s="46" t="s">
        <v>133</v>
      </c>
      <c r="F89" s="239"/>
      <c r="G89" s="240"/>
      <c r="H89" s="152"/>
    </row>
    <row r="90" spans="2:8" s="43" customFormat="1" ht="15" thickBot="1" x14ac:dyDescent="0.35">
      <c r="B90" s="135" t="s">
        <v>68</v>
      </c>
      <c r="C90" s="66">
        <f>SUM(C87:C89)</f>
        <v>48</v>
      </c>
      <c r="D90" s="135" t="str">
        <f xml:space="preserve"> setValueToTime(C90)</f>
        <v>4h</v>
      </c>
      <c r="E90" s="96"/>
      <c r="F90" s="243"/>
      <c r="G90" s="244"/>
      <c r="H90" s="152"/>
    </row>
    <row r="91" spans="2:8" s="43" customFormat="1" ht="15" thickBot="1" x14ac:dyDescent="0.35">
      <c r="B91" s="60"/>
      <c r="C91" s="60"/>
      <c r="D91" s="60"/>
      <c r="E91" s="60"/>
      <c r="F91" s="60"/>
      <c r="G91" s="60"/>
      <c r="H91" s="152"/>
    </row>
    <row r="92" spans="2:8" s="39" customFormat="1" ht="30" customHeight="1" thickBot="1" x14ac:dyDescent="0.3">
      <c r="B92" s="129" t="s">
        <v>61</v>
      </c>
      <c r="C92" s="137">
        <v>11</v>
      </c>
      <c r="D92" s="137"/>
      <c r="E92" s="130" t="s">
        <v>62</v>
      </c>
      <c r="F92" s="131">
        <v>45789</v>
      </c>
      <c r="G92" s="132" t="s">
        <v>90</v>
      </c>
      <c r="H92" s="151"/>
    </row>
    <row r="93" spans="2:8" s="39" customFormat="1" ht="30" customHeight="1" thickBot="1" x14ac:dyDescent="0.3">
      <c r="B93" s="61" t="s">
        <v>63</v>
      </c>
      <c r="C93" s="134" t="s">
        <v>64</v>
      </c>
      <c r="D93" s="133"/>
      <c r="E93" s="61" t="s">
        <v>65</v>
      </c>
      <c r="F93" s="245" t="s">
        <v>66</v>
      </c>
      <c r="G93" s="246"/>
      <c r="H93" s="151"/>
    </row>
    <row r="94" spans="2:8" s="43" customFormat="1" ht="27" x14ac:dyDescent="0.3">
      <c r="B94" s="45" t="s">
        <v>74</v>
      </c>
      <c r="C94" s="45">
        <v>8</v>
      </c>
      <c r="D94" s="127" t="str">
        <f t="shared" ref="D94:D95" si="17" xml:space="preserve"> IF(C94="","",setValueToTime(C94))</f>
        <v xml:space="preserve"> 40 min</v>
      </c>
      <c r="E94" s="46" t="s">
        <v>132</v>
      </c>
      <c r="F94" s="237"/>
      <c r="G94" s="238"/>
      <c r="H94" s="152"/>
    </row>
    <row r="95" spans="2:8" s="43" customFormat="1" ht="27.75" thickBot="1" x14ac:dyDescent="0.35">
      <c r="B95" s="45" t="s">
        <v>77</v>
      </c>
      <c r="C95" s="45">
        <v>21</v>
      </c>
      <c r="D95" s="127" t="str">
        <f t="shared" si="17"/>
        <v>1h 45 min</v>
      </c>
      <c r="E95" s="46" t="s">
        <v>131</v>
      </c>
      <c r="F95" s="239"/>
      <c r="G95" s="240"/>
      <c r="H95" s="152"/>
    </row>
    <row r="96" spans="2:8" s="43" customFormat="1" ht="15" thickBot="1" x14ac:dyDescent="0.35">
      <c r="B96" s="135" t="s">
        <v>68</v>
      </c>
      <c r="C96" s="66">
        <f>SUM(C94:C95)</f>
        <v>29</v>
      </c>
      <c r="D96" s="135" t="str">
        <f xml:space="preserve"> setValueToTime(C96)</f>
        <v>2h 25 min</v>
      </c>
      <c r="E96" s="96"/>
      <c r="F96" s="243"/>
      <c r="G96" s="244"/>
      <c r="H96" s="152"/>
    </row>
    <row r="97" spans="2:8" s="43" customFormat="1" ht="15" thickBot="1" x14ac:dyDescent="0.35">
      <c r="B97" s="60"/>
      <c r="C97" s="60"/>
      <c r="D97" s="60"/>
      <c r="E97" s="60"/>
      <c r="F97" s="60"/>
      <c r="G97" s="60"/>
      <c r="H97" s="152"/>
    </row>
    <row r="98" spans="2:8" s="39" customFormat="1" ht="30" customHeight="1" thickBot="1" x14ac:dyDescent="0.3">
      <c r="B98" s="129" t="s">
        <v>61</v>
      </c>
      <c r="C98" s="137">
        <v>10</v>
      </c>
      <c r="D98" s="137"/>
      <c r="E98" s="130" t="s">
        <v>62</v>
      </c>
      <c r="F98" s="131">
        <v>45789</v>
      </c>
      <c r="G98" s="132" t="s">
        <v>80</v>
      </c>
      <c r="H98" s="151"/>
    </row>
    <row r="99" spans="2:8" s="39" customFormat="1" ht="30" customHeight="1" thickBot="1" x14ac:dyDescent="0.3">
      <c r="B99" s="61" t="s">
        <v>63</v>
      </c>
      <c r="C99" s="134" t="s">
        <v>64</v>
      </c>
      <c r="D99" s="133"/>
      <c r="E99" s="61" t="s">
        <v>65</v>
      </c>
      <c r="F99" s="245" t="s">
        <v>66</v>
      </c>
      <c r="G99" s="246"/>
      <c r="H99" s="151"/>
    </row>
    <row r="100" spans="2:8" s="43" customFormat="1" ht="27" x14ac:dyDescent="0.3">
      <c r="B100" s="40" t="s">
        <v>104</v>
      </c>
      <c r="C100" s="41">
        <v>1</v>
      </c>
      <c r="D100" s="125" t="str">
        <f xml:space="preserve"> IF(C100="","",setValueToTime(C100))</f>
        <v xml:space="preserve"> 5 min</v>
      </c>
      <c r="E100" s="42" t="s">
        <v>105</v>
      </c>
      <c r="F100" s="249"/>
      <c r="G100" s="250"/>
      <c r="H100" s="152"/>
    </row>
    <row r="101" spans="2:8" s="43" customFormat="1" ht="27.75" thickBot="1" x14ac:dyDescent="0.35">
      <c r="B101" s="44" t="s">
        <v>71</v>
      </c>
      <c r="C101" s="45">
        <v>3</v>
      </c>
      <c r="D101" s="126" t="str">
        <f t="shared" ref="D101:D105" si="18" xml:space="preserve"> IF(C101="","",setValueToTime(C101))</f>
        <v xml:space="preserve"> 15 min</v>
      </c>
      <c r="E101" s="46" t="s">
        <v>128</v>
      </c>
      <c r="F101" s="251"/>
      <c r="G101" s="248"/>
      <c r="H101" s="152"/>
    </row>
    <row r="102" spans="2:8" s="43" customFormat="1" x14ac:dyDescent="0.3">
      <c r="B102" s="44" t="s">
        <v>58</v>
      </c>
      <c r="C102" s="45">
        <v>4</v>
      </c>
      <c r="D102" s="126" t="str">
        <f t="shared" si="18"/>
        <v xml:space="preserve"> 20 min</v>
      </c>
      <c r="E102" s="46" t="s">
        <v>129</v>
      </c>
      <c r="F102" s="252" t="s">
        <v>112</v>
      </c>
      <c r="G102" s="250"/>
      <c r="H102" s="152"/>
    </row>
    <row r="103" spans="2:8" s="43" customFormat="1" ht="27" x14ac:dyDescent="0.3">
      <c r="B103" s="44" t="s">
        <v>73</v>
      </c>
      <c r="C103" s="45">
        <v>4</v>
      </c>
      <c r="D103" s="126" t="str">
        <f t="shared" si="18"/>
        <v xml:space="preserve"> 20 min</v>
      </c>
      <c r="E103" s="46" t="s">
        <v>130</v>
      </c>
      <c r="F103" s="247" t="s">
        <v>99</v>
      </c>
      <c r="G103" s="248"/>
      <c r="H103" s="152"/>
    </row>
    <row r="104" spans="2:8" s="43" customFormat="1" ht="27" x14ac:dyDescent="0.3">
      <c r="B104" s="45" t="s">
        <v>74</v>
      </c>
      <c r="C104" s="45">
        <v>10</v>
      </c>
      <c r="D104" s="127" t="str">
        <f t="shared" si="18"/>
        <v xml:space="preserve"> 50 min</v>
      </c>
      <c r="E104" s="46" t="s">
        <v>132</v>
      </c>
      <c r="F104" s="251"/>
      <c r="G104" s="248"/>
      <c r="H104" s="152"/>
    </row>
    <row r="105" spans="2:8" s="43" customFormat="1" ht="27.75" thickBot="1" x14ac:dyDescent="0.35">
      <c r="B105" s="45" t="s">
        <v>77</v>
      </c>
      <c r="C105" s="45">
        <v>16</v>
      </c>
      <c r="D105" s="127" t="str">
        <f t="shared" si="18"/>
        <v>1h 20 min</v>
      </c>
      <c r="E105" s="46" t="s">
        <v>131</v>
      </c>
      <c r="F105" s="251"/>
      <c r="G105" s="248"/>
      <c r="H105" s="152"/>
    </row>
    <row r="106" spans="2:8" s="43" customFormat="1" ht="15" thickBot="1" x14ac:dyDescent="0.35">
      <c r="B106" s="135" t="s">
        <v>68</v>
      </c>
      <c r="C106" s="66">
        <f>SUM(C100:C105)</f>
        <v>38</v>
      </c>
      <c r="D106" s="135" t="str">
        <f xml:space="preserve"> setValueToTime(C106)</f>
        <v>3h 10 min</v>
      </c>
      <c r="E106" s="96"/>
      <c r="F106" s="243"/>
      <c r="G106" s="244"/>
      <c r="H106" s="152"/>
    </row>
    <row r="107" spans="2:8" s="43" customFormat="1" ht="15" thickBot="1" x14ac:dyDescent="0.35">
      <c r="B107" s="60"/>
      <c r="C107" s="60"/>
      <c r="D107" s="60"/>
      <c r="E107" s="60"/>
      <c r="F107" s="60"/>
      <c r="G107" s="60"/>
      <c r="H107" s="152"/>
    </row>
    <row r="108" spans="2:8" s="39" customFormat="1" ht="30" customHeight="1" thickBot="1" x14ac:dyDescent="0.3">
      <c r="B108" s="129" t="s">
        <v>61</v>
      </c>
      <c r="C108" s="137">
        <v>9</v>
      </c>
      <c r="D108" s="137"/>
      <c r="E108" s="130" t="s">
        <v>62</v>
      </c>
      <c r="F108" s="131">
        <v>45786</v>
      </c>
      <c r="G108" s="132" t="s">
        <v>90</v>
      </c>
      <c r="H108" s="151"/>
    </row>
    <row r="109" spans="2:8" s="39" customFormat="1" ht="30" customHeight="1" thickBot="1" x14ac:dyDescent="0.3">
      <c r="B109" s="61" t="s">
        <v>63</v>
      </c>
      <c r="C109" s="134" t="s">
        <v>64</v>
      </c>
      <c r="D109" s="133"/>
      <c r="E109" s="61" t="s">
        <v>65</v>
      </c>
      <c r="F109" s="245" t="s">
        <v>66</v>
      </c>
      <c r="G109" s="246"/>
      <c r="H109" s="151"/>
    </row>
    <row r="110" spans="2:8" s="43" customFormat="1" ht="27" x14ac:dyDescent="0.3">
      <c r="B110" s="44" t="s">
        <v>74</v>
      </c>
      <c r="C110" s="45">
        <v>8</v>
      </c>
      <c r="D110" s="126" t="str">
        <f t="shared" ref="D110" si="19" xml:space="preserve"> IF(C110="","",setValueToTime(C110))</f>
        <v xml:space="preserve"> 40 min</v>
      </c>
      <c r="E110" s="46" t="s">
        <v>124</v>
      </c>
      <c r="F110" s="237"/>
      <c r="G110" s="238"/>
      <c r="H110" s="152"/>
    </row>
    <row r="111" spans="2:8" s="43" customFormat="1" ht="27" x14ac:dyDescent="0.3">
      <c r="B111" s="45" t="s">
        <v>77</v>
      </c>
      <c r="C111" s="45">
        <v>6</v>
      </c>
      <c r="D111" s="127" t="str">
        <f t="shared" ref="D111" si="20" xml:space="preserve"> IF(C111="","",setValueToTime(C111))</f>
        <v xml:space="preserve"> 30 min</v>
      </c>
      <c r="E111" s="46" t="s">
        <v>125</v>
      </c>
      <c r="F111" s="239"/>
      <c r="G111" s="240"/>
      <c r="H111" s="152"/>
    </row>
    <row r="112" spans="2:8" s="43" customFormat="1" ht="27.75" thickBot="1" x14ac:dyDescent="0.35">
      <c r="B112" s="45" t="s">
        <v>77</v>
      </c>
      <c r="C112" s="45">
        <v>16</v>
      </c>
      <c r="D112" s="127" t="str">
        <f t="shared" ref="D112" si="21" xml:space="preserve"> IF(C112="","",setValueToTime(C112))</f>
        <v>1h 20 min</v>
      </c>
      <c r="E112" s="46" t="s">
        <v>126</v>
      </c>
      <c r="F112" s="239"/>
      <c r="G112" s="240"/>
      <c r="H112" s="152"/>
    </row>
    <row r="113" spans="2:8" s="43" customFormat="1" x14ac:dyDescent="0.3">
      <c r="B113" s="44" t="s">
        <v>58</v>
      </c>
      <c r="C113" s="45">
        <v>4</v>
      </c>
      <c r="D113" s="126" t="str">
        <f t="shared" ref="D113:D115" si="22" xml:space="preserve"> IF(C113="","",setValueToTime(C113))</f>
        <v xml:space="preserve"> 20 min</v>
      </c>
      <c r="E113" s="46" t="s">
        <v>127</v>
      </c>
      <c r="F113" s="252" t="s">
        <v>112</v>
      </c>
      <c r="G113" s="250"/>
      <c r="H113" s="152"/>
    </row>
    <row r="114" spans="2:8" s="43" customFormat="1" x14ac:dyDescent="0.3">
      <c r="B114" s="44" t="s">
        <v>58</v>
      </c>
      <c r="C114" s="45">
        <v>1</v>
      </c>
      <c r="D114" s="127" t="str">
        <f t="shared" si="22"/>
        <v xml:space="preserve"> 5 min</v>
      </c>
      <c r="E114" s="171" t="s">
        <v>94</v>
      </c>
      <c r="F114" s="239"/>
      <c r="G114" s="240"/>
      <c r="H114" s="152"/>
    </row>
    <row r="115" spans="2:8" s="43" customFormat="1" ht="41.25" thickBot="1" x14ac:dyDescent="0.35">
      <c r="B115" s="45" t="s">
        <v>95</v>
      </c>
      <c r="C115" s="45">
        <v>3</v>
      </c>
      <c r="D115" s="127" t="str">
        <f t="shared" si="22"/>
        <v xml:space="preserve"> 15 min</v>
      </c>
      <c r="E115" s="171" t="s">
        <v>96</v>
      </c>
      <c r="F115" s="247" t="s">
        <v>115</v>
      </c>
      <c r="G115" s="248"/>
      <c r="H115" s="152"/>
    </row>
    <row r="116" spans="2:8" s="43" customFormat="1" ht="15" thickBot="1" x14ac:dyDescent="0.35">
      <c r="B116" s="135" t="s">
        <v>68</v>
      </c>
      <c r="C116" s="66">
        <f>SUM(C110:C115)</f>
        <v>38</v>
      </c>
      <c r="D116" s="135" t="str">
        <f xml:space="preserve"> setValueToTime(C116)</f>
        <v>3h 10 min</v>
      </c>
      <c r="E116" s="96"/>
      <c r="F116" s="243"/>
      <c r="G116" s="244"/>
      <c r="H116" s="152"/>
    </row>
    <row r="117" spans="2:8" s="43" customFormat="1" ht="15" thickBot="1" x14ac:dyDescent="0.35">
      <c r="B117" s="60"/>
      <c r="C117" s="60"/>
      <c r="D117" s="60"/>
      <c r="E117" s="60"/>
      <c r="F117" s="60"/>
      <c r="G117" s="60"/>
      <c r="H117" s="152"/>
    </row>
    <row r="118" spans="2:8" s="39" customFormat="1" ht="30" customHeight="1" thickBot="1" x14ac:dyDescent="0.3">
      <c r="B118" s="129" t="s">
        <v>61</v>
      </c>
      <c r="C118" s="137">
        <v>8</v>
      </c>
      <c r="D118" s="137"/>
      <c r="E118" s="130" t="s">
        <v>62</v>
      </c>
      <c r="F118" s="131">
        <v>45786</v>
      </c>
      <c r="G118" s="132" t="s">
        <v>80</v>
      </c>
      <c r="H118" s="151"/>
    </row>
    <row r="119" spans="2:8" s="39" customFormat="1" ht="30" customHeight="1" thickBot="1" x14ac:dyDescent="0.3">
      <c r="B119" s="61" t="s">
        <v>63</v>
      </c>
      <c r="C119" s="134" t="s">
        <v>64</v>
      </c>
      <c r="D119" s="133"/>
      <c r="E119" s="61" t="s">
        <v>65</v>
      </c>
      <c r="F119" s="245" t="s">
        <v>66</v>
      </c>
      <c r="G119" s="246"/>
      <c r="H119" s="151"/>
    </row>
    <row r="120" spans="2:8" s="43" customFormat="1" ht="27" x14ac:dyDescent="0.3">
      <c r="B120" s="40" t="s">
        <v>104</v>
      </c>
      <c r="C120" s="41">
        <v>1</v>
      </c>
      <c r="D120" s="125" t="str">
        <f xml:space="preserve"> IF(C120="","",setValueToTime(C120))</f>
        <v xml:space="preserve"> 5 min</v>
      </c>
      <c r="E120" s="42" t="s">
        <v>105</v>
      </c>
      <c r="F120" s="237"/>
      <c r="G120" s="238"/>
      <c r="H120" s="152"/>
    </row>
    <row r="121" spans="2:8" s="43" customFormat="1" ht="27.75" thickBot="1" x14ac:dyDescent="0.35">
      <c r="B121" s="45" t="s">
        <v>56</v>
      </c>
      <c r="C121" s="45">
        <v>10</v>
      </c>
      <c r="D121" s="127" t="str">
        <f t="shared" ref="D121" si="23" xml:space="preserve"> IF(C121="","",setValueToTime(C121))</f>
        <v xml:space="preserve"> 50 min</v>
      </c>
      <c r="E121" s="192" t="s">
        <v>120</v>
      </c>
      <c r="F121" s="247" t="s">
        <v>99</v>
      </c>
      <c r="G121" s="248"/>
      <c r="H121" s="152"/>
    </row>
    <row r="122" spans="2:8" s="43" customFormat="1" x14ac:dyDescent="0.3">
      <c r="B122" s="44" t="s">
        <v>58</v>
      </c>
      <c r="C122" s="45">
        <v>7</v>
      </c>
      <c r="D122" s="126" t="str">
        <f t="shared" ref="D122:D124" si="24" xml:space="preserve"> IF(C122="","",setValueToTime(C122))</f>
        <v xml:space="preserve"> 35 min</v>
      </c>
      <c r="E122" s="46" t="s">
        <v>121</v>
      </c>
      <c r="F122" s="252" t="s">
        <v>112</v>
      </c>
      <c r="G122" s="250"/>
      <c r="H122" s="152"/>
    </row>
    <row r="123" spans="2:8" s="43" customFormat="1" ht="27" x14ac:dyDescent="0.3">
      <c r="B123" s="44" t="s">
        <v>74</v>
      </c>
      <c r="C123" s="45">
        <v>17</v>
      </c>
      <c r="D123" s="126" t="str">
        <f t="shared" si="24"/>
        <v>1h 25 min</v>
      </c>
      <c r="E123" s="46" t="s">
        <v>122</v>
      </c>
      <c r="F123" s="239"/>
      <c r="G123" s="240"/>
      <c r="H123" s="152"/>
    </row>
    <row r="124" spans="2:8" s="43" customFormat="1" ht="27.75" thickBot="1" x14ac:dyDescent="0.35">
      <c r="B124" s="45" t="s">
        <v>77</v>
      </c>
      <c r="C124" s="45">
        <v>13</v>
      </c>
      <c r="D124" s="127" t="str">
        <f t="shared" si="24"/>
        <v>1h 5 min</v>
      </c>
      <c r="E124" s="46" t="s">
        <v>123</v>
      </c>
      <c r="F124" s="239"/>
      <c r="G124" s="240"/>
      <c r="H124" s="152"/>
    </row>
    <row r="125" spans="2:8" s="43" customFormat="1" ht="15" thickBot="1" x14ac:dyDescent="0.35">
      <c r="B125" s="135" t="s">
        <v>68</v>
      </c>
      <c r="C125" s="66">
        <f>SUM(C120:C124)</f>
        <v>48</v>
      </c>
      <c r="D125" s="135" t="str">
        <f xml:space="preserve"> setValueToTime(C125)</f>
        <v>4h</v>
      </c>
      <c r="E125" s="96"/>
      <c r="F125" s="243"/>
      <c r="G125" s="244"/>
      <c r="H125" s="152"/>
    </row>
    <row r="126" spans="2:8" s="43" customFormat="1" ht="15" thickBot="1" x14ac:dyDescent="0.35">
      <c r="B126" s="60"/>
      <c r="C126" s="60"/>
      <c r="D126" s="60"/>
      <c r="E126" s="60"/>
      <c r="F126" s="60"/>
      <c r="G126" s="60"/>
      <c r="H126" s="152"/>
    </row>
    <row r="127" spans="2:8" s="39" customFormat="1" ht="30" customHeight="1" thickBot="1" x14ac:dyDescent="0.3">
      <c r="B127" s="129" t="s">
        <v>61</v>
      </c>
      <c r="C127" s="137">
        <v>7</v>
      </c>
      <c r="D127" s="137"/>
      <c r="E127" s="130" t="s">
        <v>62</v>
      </c>
      <c r="F127" s="131" t="s">
        <v>117</v>
      </c>
      <c r="G127" s="132" t="s">
        <v>90</v>
      </c>
      <c r="H127" s="151"/>
    </row>
    <row r="128" spans="2:8" s="39" customFormat="1" ht="30" customHeight="1" thickBot="1" x14ac:dyDescent="0.3">
      <c r="B128" s="61" t="s">
        <v>63</v>
      </c>
      <c r="C128" s="134" t="s">
        <v>64</v>
      </c>
      <c r="D128" s="133"/>
      <c r="E128" s="61" t="s">
        <v>65</v>
      </c>
      <c r="F128" s="245" t="s">
        <v>66</v>
      </c>
      <c r="G128" s="246"/>
      <c r="H128" s="151"/>
    </row>
    <row r="129" spans="2:8" s="43" customFormat="1" ht="27" x14ac:dyDescent="0.3">
      <c r="B129" s="40" t="s">
        <v>104</v>
      </c>
      <c r="C129" s="41">
        <v>1</v>
      </c>
      <c r="D129" s="125" t="str">
        <f xml:space="preserve"> IF(C129="","",setValueToTime(C129))</f>
        <v xml:space="preserve"> 5 min</v>
      </c>
      <c r="E129" s="42" t="s">
        <v>105</v>
      </c>
      <c r="F129" s="237"/>
      <c r="G129" s="238"/>
      <c r="H129" s="152"/>
    </row>
    <row r="130" spans="2:8" s="43" customFormat="1" ht="27" x14ac:dyDescent="0.3">
      <c r="B130" s="44" t="s">
        <v>71</v>
      </c>
      <c r="C130" s="45">
        <v>18</v>
      </c>
      <c r="D130" s="126" t="str">
        <f t="shared" ref="D130:D131" si="25" xml:space="preserve"> IF(C130="","",setValueToTime(C130))</f>
        <v>1h 30 min</v>
      </c>
      <c r="E130" s="46" t="s">
        <v>118</v>
      </c>
      <c r="F130" s="239"/>
      <c r="G130" s="240"/>
      <c r="H130" s="152"/>
    </row>
    <row r="131" spans="2:8" s="43" customFormat="1" ht="27.75" thickBot="1" x14ac:dyDescent="0.35">
      <c r="B131" s="45" t="s">
        <v>56</v>
      </c>
      <c r="C131" s="45">
        <v>19</v>
      </c>
      <c r="D131" s="127" t="str">
        <f t="shared" si="25"/>
        <v>1h 35 min</v>
      </c>
      <c r="E131" s="192" t="s">
        <v>119</v>
      </c>
      <c r="F131" s="239"/>
      <c r="G131" s="240"/>
      <c r="H131" s="152"/>
    </row>
    <row r="132" spans="2:8" s="43" customFormat="1" ht="15" thickBot="1" x14ac:dyDescent="0.35">
      <c r="B132" s="135" t="s">
        <v>68</v>
      </c>
      <c r="C132" s="66">
        <f>SUM(C129:C131)</f>
        <v>38</v>
      </c>
      <c r="D132" s="135" t="str">
        <f xml:space="preserve"> setValueToTime(C132)</f>
        <v>3h 10 min</v>
      </c>
      <c r="E132" s="96"/>
      <c r="F132" s="243"/>
      <c r="G132" s="244"/>
      <c r="H132" s="152"/>
    </row>
    <row r="133" spans="2:8" s="43" customFormat="1" ht="15" thickBot="1" x14ac:dyDescent="0.35">
      <c r="B133" s="60"/>
      <c r="C133" s="60"/>
      <c r="D133" s="60"/>
      <c r="E133" s="60"/>
      <c r="F133" s="60"/>
      <c r="G133" s="60"/>
      <c r="H133" s="152"/>
    </row>
    <row r="134" spans="2:8" s="39" customFormat="1" ht="30" customHeight="1" thickBot="1" x14ac:dyDescent="0.3">
      <c r="B134" s="129" t="s">
        <v>61</v>
      </c>
      <c r="C134" s="137">
        <v>6</v>
      </c>
      <c r="D134" s="137"/>
      <c r="E134" s="130" t="s">
        <v>62</v>
      </c>
      <c r="F134" s="131">
        <v>45784</v>
      </c>
      <c r="G134" s="132" t="s">
        <v>90</v>
      </c>
      <c r="H134" s="151"/>
    </row>
    <row r="135" spans="2:8" s="39" customFormat="1" ht="30" customHeight="1" thickBot="1" x14ac:dyDescent="0.3">
      <c r="B135" s="61" t="s">
        <v>63</v>
      </c>
      <c r="C135" s="134" t="s">
        <v>64</v>
      </c>
      <c r="D135" s="133"/>
      <c r="E135" s="61" t="s">
        <v>65</v>
      </c>
      <c r="F135" s="245" t="s">
        <v>66</v>
      </c>
      <c r="G135" s="246"/>
      <c r="H135" s="151"/>
    </row>
    <row r="136" spans="2:8" s="43" customFormat="1" ht="27" x14ac:dyDescent="0.3">
      <c r="B136" s="45" t="s">
        <v>58</v>
      </c>
      <c r="C136" s="45">
        <v>27</v>
      </c>
      <c r="D136" s="127" t="str">
        <f xml:space="preserve"> IF(C136="","",setValueToTime(C136))</f>
        <v>2h 15 min</v>
      </c>
      <c r="E136" s="42" t="s">
        <v>113</v>
      </c>
      <c r="F136" s="252" t="s">
        <v>112</v>
      </c>
      <c r="G136" s="250"/>
      <c r="H136" s="152"/>
    </row>
    <row r="137" spans="2:8" s="43" customFormat="1" ht="54" x14ac:dyDescent="0.3">
      <c r="B137" s="44" t="s">
        <v>69</v>
      </c>
      <c r="C137" s="45">
        <v>7</v>
      </c>
      <c r="D137" s="126" t="str">
        <f t="shared" ref="D137:D140" si="26" xml:space="preserve"> IF(C137="","",setValueToTime(C137))</f>
        <v xml:space="preserve"> 35 min</v>
      </c>
      <c r="E137" s="46" t="s">
        <v>114</v>
      </c>
      <c r="F137" s="251"/>
      <c r="G137" s="248"/>
      <c r="H137" s="152"/>
    </row>
    <row r="138" spans="2:8" s="43" customFormat="1" x14ac:dyDescent="0.3">
      <c r="B138" s="44" t="s">
        <v>58</v>
      </c>
      <c r="C138" s="45">
        <v>1</v>
      </c>
      <c r="D138" s="127" t="str">
        <f t="shared" si="26"/>
        <v xml:space="preserve"> 5 min</v>
      </c>
      <c r="E138" s="171" t="s">
        <v>94</v>
      </c>
      <c r="F138" s="251"/>
      <c r="G138" s="248"/>
      <c r="H138" s="152"/>
    </row>
    <row r="139" spans="2:8" s="43" customFormat="1" ht="40.5" x14ac:dyDescent="0.3">
      <c r="B139" s="45" t="s">
        <v>95</v>
      </c>
      <c r="C139" s="45">
        <v>3</v>
      </c>
      <c r="D139" s="127" t="str">
        <f t="shared" si="26"/>
        <v xml:space="preserve"> 15 min</v>
      </c>
      <c r="E139" s="171" t="s">
        <v>96</v>
      </c>
      <c r="F139" s="247" t="s">
        <v>115</v>
      </c>
      <c r="G139" s="248"/>
      <c r="H139" s="152"/>
    </row>
    <row r="140" spans="2:8" s="43" customFormat="1" ht="15" thickBot="1" x14ac:dyDescent="0.35">
      <c r="B140" s="45"/>
      <c r="C140" s="45"/>
      <c r="D140" s="127" t="str">
        <f t="shared" si="26"/>
        <v/>
      </c>
      <c r="E140" s="46"/>
      <c r="F140" s="247" t="s">
        <v>116</v>
      </c>
      <c r="G140" s="248"/>
      <c r="H140" s="152"/>
    </row>
    <row r="141" spans="2:8" s="43" customFormat="1" ht="15" thickBot="1" x14ac:dyDescent="0.35">
      <c r="B141" s="135" t="s">
        <v>68</v>
      </c>
      <c r="C141" s="66">
        <f>SUM(C136:C140)</f>
        <v>38</v>
      </c>
      <c r="D141" s="135" t="str">
        <f xml:space="preserve"> setValueToTime(C141)</f>
        <v>3h 10 min</v>
      </c>
      <c r="E141" s="96"/>
      <c r="F141" s="243"/>
      <c r="G141" s="244"/>
      <c r="H141" s="152"/>
    </row>
    <row r="142" spans="2:8" s="43" customFormat="1" ht="15" thickBot="1" x14ac:dyDescent="0.35">
      <c r="B142" s="60"/>
      <c r="C142" s="60"/>
      <c r="D142" s="60"/>
      <c r="E142" s="60"/>
      <c r="F142" s="60"/>
      <c r="G142" s="60"/>
      <c r="H142" s="152"/>
    </row>
    <row r="143" spans="2:8" s="39" customFormat="1" ht="30" customHeight="1" thickBot="1" x14ac:dyDescent="0.3">
      <c r="B143" s="129" t="s">
        <v>61</v>
      </c>
      <c r="C143" s="137">
        <v>5</v>
      </c>
      <c r="D143" s="137"/>
      <c r="E143" s="130" t="s">
        <v>62</v>
      </c>
      <c r="F143" s="131">
        <v>45784</v>
      </c>
      <c r="G143" s="132" t="s">
        <v>80</v>
      </c>
      <c r="H143" s="151"/>
    </row>
    <row r="144" spans="2:8" s="39" customFormat="1" ht="30" customHeight="1" thickBot="1" x14ac:dyDescent="0.3">
      <c r="B144" s="61" t="s">
        <v>63</v>
      </c>
      <c r="C144" s="134" t="s">
        <v>64</v>
      </c>
      <c r="D144" s="133"/>
      <c r="E144" s="61" t="s">
        <v>65</v>
      </c>
      <c r="F144" s="245" t="s">
        <v>66</v>
      </c>
      <c r="G144" s="246"/>
      <c r="H144" s="151"/>
    </row>
    <row r="145" spans="2:8" s="43" customFormat="1" ht="27" x14ac:dyDescent="0.3">
      <c r="B145" s="40" t="s">
        <v>104</v>
      </c>
      <c r="C145" s="41">
        <v>1</v>
      </c>
      <c r="D145" s="125" t="str">
        <f xml:space="preserve"> IF(C145="","",setValueToTime(C145))</f>
        <v xml:space="preserve"> 5 min</v>
      </c>
      <c r="E145" s="42" t="s">
        <v>105</v>
      </c>
      <c r="F145" s="249"/>
      <c r="G145" s="250"/>
      <c r="H145" s="152"/>
    </row>
    <row r="146" spans="2:8" s="43" customFormat="1" ht="27" x14ac:dyDescent="0.3">
      <c r="B146" s="45" t="s">
        <v>56</v>
      </c>
      <c r="C146" s="45">
        <v>30</v>
      </c>
      <c r="D146" s="127" t="str">
        <f t="shared" ref="D146" si="27" xml:space="preserve"> IF(C146="","",setValueToTime(C146))</f>
        <v>2h 30 min</v>
      </c>
      <c r="E146" s="192" t="s">
        <v>106</v>
      </c>
      <c r="F146" s="247" t="s">
        <v>99</v>
      </c>
      <c r="G146" s="248"/>
      <c r="H146" s="152"/>
    </row>
    <row r="147" spans="2:8" s="43" customFormat="1" ht="27" x14ac:dyDescent="0.3">
      <c r="B147" s="45" t="s">
        <v>56</v>
      </c>
      <c r="C147" s="45">
        <v>1</v>
      </c>
      <c r="D147" s="126" t="str">
        <f t="shared" ref="D147:D148" si="28" xml:space="preserve"> IF(C147="","",setValueToTime(C147))</f>
        <v xml:space="preserve"> 5 min</v>
      </c>
      <c r="E147" s="46" t="s">
        <v>107</v>
      </c>
      <c r="F147" s="247" t="s">
        <v>108</v>
      </c>
      <c r="G147" s="248"/>
      <c r="H147" s="152"/>
    </row>
    <row r="148" spans="2:8" s="43" customFormat="1" ht="54" x14ac:dyDescent="0.3">
      <c r="B148" s="44" t="s">
        <v>70</v>
      </c>
      <c r="C148" s="45">
        <v>3</v>
      </c>
      <c r="D148" s="126" t="str">
        <f t="shared" si="28"/>
        <v xml:space="preserve"> 15 min</v>
      </c>
      <c r="E148" s="46" t="s">
        <v>109</v>
      </c>
      <c r="F148" s="247" t="s">
        <v>110</v>
      </c>
      <c r="G148" s="248"/>
      <c r="H148" s="152"/>
    </row>
    <row r="149" spans="2:8" s="43" customFormat="1" x14ac:dyDescent="0.3">
      <c r="B149" s="45"/>
      <c r="C149" s="45"/>
      <c r="D149" s="127"/>
      <c r="E149" s="46"/>
      <c r="F149" s="247" t="s">
        <v>111</v>
      </c>
      <c r="G149" s="248"/>
      <c r="H149" s="152"/>
    </row>
    <row r="150" spans="2:8" s="43" customFormat="1" x14ac:dyDescent="0.3">
      <c r="B150" s="45" t="s">
        <v>58</v>
      </c>
      <c r="C150" s="45">
        <v>12</v>
      </c>
      <c r="D150" s="127" t="str">
        <f xml:space="preserve"> IF(C150="","",setValueToTime(C150))</f>
        <v>1h</v>
      </c>
      <c r="E150" s="46"/>
      <c r="F150" s="251"/>
      <c r="G150" s="248"/>
      <c r="H150" s="152"/>
    </row>
    <row r="151" spans="2:8" s="43" customFormat="1" ht="27.75" thickBot="1" x14ac:dyDescent="0.35">
      <c r="B151" s="44" t="s">
        <v>57</v>
      </c>
      <c r="C151" s="45">
        <v>1</v>
      </c>
      <c r="D151" s="126" t="str">
        <f t="shared" ref="D151" si="29" xml:space="preserve"> IF(C151="","",setValueToTime(C151))</f>
        <v xml:space="preserve"> 5 min</v>
      </c>
      <c r="E151" s="46" t="s">
        <v>87</v>
      </c>
      <c r="F151" s="247" t="s">
        <v>101</v>
      </c>
      <c r="G151" s="248"/>
      <c r="H151" s="152"/>
    </row>
    <row r="152" spans="2:8" s="43" customFormat="1" ht="15" thickBot="1" x14ac:dyDescent="0.35">
      <c r="B152" s="135" t="s">
        <v>68</v>
      </c>
      <c r="C152" s="66">
        <f>SUM(C145:C151)</f>
        <v>48</v>
      </c>
      <c r="D152" s="135" t="str">
        <f xml:space="preserve"> setValueToTime(C152)</f>
        <v>4h</v>
      </c>
      <c r="E152" s="96"/>
      <c r="F152" s="243"/>
      <c r="G152" s="244"/>
      <c r="H152" s="152"/>
    </row>
    <row r="153" spans="2:8" s="43" customFormat="1" ht="15" thickBot="1" x14ac:dyDescent="0.35">
      <c r="B153" s="60"/>
      <c r="C153" s="60"/>
      <c r="D153" s="60"/>
      <c r="E153" s="60"/>
      <c r="F153" s="60"/>
      <c r="G153" s="60"/>
      <c r="H153" s="152"/>
    </row>
    <row r="154" spans="2:8" s="39" customFormat="1" ht="30" customHeight="1" thickBot="1" x14ac:dyDescent="0.3">
      <c r="B154" s="129" t="s">
        <v>61</v>
      </c>
      <c r="C154" s="137">
        <v>4</v>
      </c>
      <c r="D154" s="137"/>
      <c r="E154" s="130" t="s">
        <v>62</v>
      </c>
      <c r="F154" s="131">
        <v>45782</v>
      </c>
      <c r="G154" s="132" t="s">
        <v>90</v>
      </c>
      <c r="H154" s="151"/>
    </row>
    <row r="155" spans="2:8" s="39" customFormat="1" ht="30" customHeight="1" thickBot="1" x14ac:dyDescent="0.3">
      <c r="B155" s="61" t="s">
        <v>63</v>
      </c>
      <c r="C155" s="134" t="s">
        <v>64</v>
      </c>
      <c r="D155" s="133"/>
      <c r="E155" s="61" t="s">
        <v>65</v>
      </c>
      <c r="F155" s="245" t="s">
        <v>66</v>
      </c>
      <c r="G155" s="246"/>
      <c r="H155" s="151"/>
    </row>
    <row r="156" spans="2:8" s="43" customFormat="1" ht="27" x14ac:dyDescent="0.3">
      <c r="B156" s="45" t="s">
        <v>56</v>
      </c>
      <c r="C156" s="45">
        <v>12</v>
      </c>
      <c r="D156" s="127" t="str">
        <f t="shared" ref="D156" si="30" xml:space="preserve"> IF(C156="","",setValueToTime(C156))</f>
        <v>1h</v>
      </c>
      <c r="E156" s="171" t="s">
        <v>100</v>
      </c>
      <c r="F156" s="252" t="s">
        <v>99</v>
      </c>
      <c r="G156" s="253"/>
      <c r="H156" s="152"/>
    </row>
    <row r="157" spans="2:8" s="43" customFormat="1" ht="14.25" customHeight="1" x14ac:dyDescent="0.3">
      <c r="B157" s="44" t="s">
        <v>58</v>
      </c>
      <c r="C157" s="45">
        <v>14</v>
      </c>
      <c r="D157" s="126" t="str">
        <f t="shared" ref="D157:D158" si="31" xml:space="preserve"> IF(C157="","",setValueToTime(C157))</f>
        <v>1h 10 min</v>
      </c>
      <c r="E157" s="46" t="s">
        <v>103</v>
      </c>
      <c r="F157" s="247" t="s">
        <v>102</v>
      </c>
      <c r="G157" s="254"/>
      <c r="H157" s="152"/>
    </row>
    <row r="158" spans="2:8" s="43" customFormat="1" ht="27" customHeight="1" thickBot="1" x14ac:dyDescent="0.35">
      <c r="B158" s="44" t="s">
        <v>57</v>
      </c>
      <c r="C158" s="45">
        <v>1</v>
      </c>
      <c r="D158" s="126" t="str">
        <f t="shared" si="31"/>
        <v xml:space="preserve"> 5 min</v>
      </c>
      <c r="E158" s="46" t="s">
        <v>87</v>
      </c>
      <c r="F158" s="247" t="s">
        <v>101</v>
      </c>
      <c r="G158" s="254"/>
      <c r="H158" s="152"/>
    </row>
    <row r="159" spans="2:8" s="43" customFormat="1" ht="15" thickBot="1" x14ac:dyDescent="0.35">
      <c r="B159" s="135" t="s">
        <v>68</v>
      </c>
      <c r="C159" s="66">
        <f>SUM(C156:C158)</f>
        <v>27</v>
      </c>
      <c r="D159" s="135" t="str">
        <f xml:space="preserve"> setValueToTime(C159)</f>
        <v>2h 15 min</v>
      </c>
      <c r="E159" s="96"/>
      <c r="F159" s="243"/>
      <c r="G159" s="244"/>
      <c r="H159" s="152"/>
    </row>
    <row r="160" spans="2:8" s="43" customFormat="1" ht="15" thickBot="1" x14ac:dyDescent="0.35">
      <c r="B160" s="60"/>
      <c r="C160" s="60"/>
      <c r="D160" s="60"/>
      <c r="E160" s="60"/>
      <c r="F160" s="60"/>
      <c r="G160" s="60"/>
      <c r="H160" s="152"/>
    </row>
    <row r="161" spans="2:8" s="39" customFormat="1" ht="30" customHeight="1" thickBot="1" x14ac:dyDescent="0.3">
      <c r="B161" s="129" t="s">
        <v>61</v>
      </c>
      <c r="C161" s="137">
        <v>3</v>
      </c>
      <c r="D161" s="137"/>
      <c r="E161" s="130" t="s">
        <v>62</v>
      </c>
      <c r="F161" s="131">
        <v>45782</v>
      </c>
      <c r="G161" s="132" t="s">
        <v>80</v>
      </c>
      <c r="H161" s="151"/>
    </row>
    <row r="162" spans="2:8" s="39" customFormat="1" ht="30" customHeight="1" thickBot="1" x14ac:dyDescent="0.3">
      <c r="B162" s="61" t="s">
        <v>63</v>
      </c>
      <c r="C162" s="134" t="s">
        <v>64</v>
      </c>
      <c r="D162" s="133"/>
      <c r="E162" s="61" t="s">
        <v>65</v>
      </c>
      <c r="F162" s="245" t="s">
        <v>66</v>
      </c>
      <c r="G162" s="246"/>
      <c r="H162" s="151"/>
    </row>
    <row r="163" spans="2:8" s="43" customFormat="1" ht="27" x14ac:dyDescent="0.3">
      <c r="B163" s="45" t="s">
        <v>56</v>
      </c>
      <c r="C163" s="45">
        <v>33</v>
      </c>
      <c r="D163" s="127" t="str">
        <f t="shared" ref="D163" si="32" xml:space="preserve"> IF(C163="","",setValueToTime(C163))</f>
        <v>2h 45 min</v>
      </c>
      <c r="E163" s="171" t="s">
        <v>100</v>
      </c>
      <c r="F163" s="252" t="s">
        <v>99</v>
      </c>
      <c r="G163" s="253"/>
      <c r="H163" s="152"/>
    </row>
    <row r="164" spans="2:8" s="43" customFormat="1" ht="14.25" customHeight="1" x14ac:dyDescent="0.3">
      <c r="B164" s="44" t="s">
        <v>71</v>
      </c>
      <c r="C164" s="45">
        <v>2</v>
      </c>
      <c r="D164" s="126" t="str">
        <f t="shared" ref="D164:D165" si="33" xml:space="preserve"> IF(C164="","",setValueToTime(C164))</f>
        <v xml:space="preserve"> 10 min</v>
      </c>
      <c r="E164" s="46" t="s">
        <v>97</v>
      </c>
      <c r="F164" s="239"/>
      <c r="G164" s="240"/>
      <c r="H164" s="152"/>
    </row>
    <row r="165" spans="2:8" s="43" customFormat="1" ht="27" customHeight="1" thickBot="1" x14ac:dyDescent="0.35">
      <c r="B165" s="44" t="s">
        <v>71</v>
      </c>
      <c r="C165" s="45">
        <v>3</v>
      </c>
      <c r="D165" s="126" t="str">
        <f t="shared" si="33"/>
        <v xml:space="preserve"> 15 min</v>
      </c>
      <c r="E165" s="46" t="s">
        <v>98</v>
      </c>
      <c r="F165" s="239"/>
      <c r="G165" s="240"/>
      <c r="H165" s="152"/>
    </row>
    <row r="166" spans="2:8" s="43" customFormat="1" ht="15" thickBot="1" x14ac:dyDescent="0.35">
      <c r="B166" s="135" t="s">
        <v>68</v>
      </c>
      <c r="C166" s="66">
        <f>SUM(C163:C165)</f>
        <v>38</v>
      </c>
      <c r="D166" s="135" t="str">
        <f xml:space="preserve"> setValueToTime(C166)</f>
        <v>3h 10 min</v>
      </c>
      <c r="E166" s="96"/>
      <c r="F166" s="243"/>
      <c r="G166" s="244"/>
      <c r="H166" s="152"/>
    </row>
    <row r="167" spans="2:8" s="43" customFormat="1" ht="15" thickBot="1" x14ac:dyDescent="0.35">
      <c r="B167" s="60"/>
      <c r="C167" s="60"/>
      <c r="D167" s="60"/>
      <c r="E167" s="60"/>
      <c r="F167" s="60"/>
      <c r="G167" s="60"/>
      <c r="H167" s="152"/>
    </row>
    <row r="168" spans="2:8" s="39" customFormat="1" ht="30" customHeight="1" thickBot="1" x14ac:dyDescent="0.3">
      <c r="B168" s="129" t="s">
        <v>61</v>
      </c>
      <c r="C168" s="137">
        <v>2</v>
      </c>
      <c r="D168" s="137"/>
      <c r="E168" s="130" t="s">
        <v>62</v>
      </c>
      <c r="F168" s="131">
        <v>45779</v>
      </c>
      <c r="G168" s="132" t="s">
        <v>90</v>
      </c>
      <c r="H168" s="151"/>
    </row>
    <row r="169" spans="2:8" s="39" customFormat="1" ht="30" customHeight="1" thickBot="1" x14ac:dyDescent="0.3">
      <c r="B169" s="61" t="s">
        <v>63</v>
      </c>
      <c r="C169" s="134" t="s">
        <v>64</v>
      </c>
      <c r="D169" s="133"/>
      <c r="E169" s="61" t="s">
        <v>65</v>
      </c>
      <c r="F169" s="245" t="s">
        <v>66</v>
      </c>
      <c r="G169" s="246"/>
      <c r="H169" s="151"/>
    </row>
    <row r="170" spans="2:8" s="43" customFormat="1" ht="27" x14ac:dyDescent="0.3">
      <c r="B170" s="45" t="s">
        <v>56</v>
      </c>
      <c r="C170" s="45">
        <v>30</v>
      </c>
      <c r="D170" s="127" t="str">
        <f t="shared" ref="D170" si="34" xml:space="preserve"> IF(C170="","",setValueToTime(C170))</f>
        <v>2h 30 min</v>
      </c>
      <c r="E170" s="171" t="s">
        <v>91</v>
      </c>
      <c r="F170" s="252" t="s">
        <v>99</v>
      </c>
      <c r="G170" s="250"/>
      <c r="H170" s="152"/>
    </row>
    <row r="171" spans="2:8" s="43" customFormat="1" ht="27" x14ac:dyDescent="0.3">
      <c r="B171" s="44" t="s">
        <v>56</v>
      </c>
      <c r="C171" s="45">
        <v>2</v>
      </c>
      <c r="D171" s="126" t="str">
        <f t="shared" ref="D171:D175" si="35" xml:space="preserve"> IF(C171="","",setValueToTime(C171))</f>
        <v xml:space="preserve"> 10 min</v>
      </c>
      <c r="E171" s="171" t="s">
        <v>92</v>
      </c>
      <c r="F171" s="239"/>
      <c r="G171" s="240"/>
      <c r="H171" s="152"/>
    </row>
    <row r="172" spans="2:8" s="43" customFormat="1" ht="27" x14ac:dyDescent="0.3">
      <c r="B172" s="44" t="s">
        <v>57</v>
      </c>
      <c r="C172" s="45">
        <v>1</v>
      </c>
      <c r="D172" s="126" t="str">
        <f t="shared" si="35"/>
        <v xml:space="preserve"> 5 min</v>
      </c>
      <c r="E172" s="171" t="s">
        <v>94</v>
      </c>
      <c r="F172" s="239"/>
      <c r="G172" s="240"/>
      <c r="H172" s="152"/>
    </row>
    <row r="173" spans="2:8" s="43" customFormat="1" x14ac:dyDescent="0.3">
      <c r="B173" s="44" t="s">
        <v>58</v>
      </c>
      <c r="C173" s="45">
        <v>1</v>
      </c>
      <c r="D173" s="126" t="str">
        <f t="shared" si="35"/>
        <v xml:space="preserve"> 5 min</v>
      </c>
      <c r="E173" s="171" t="s">
        <v>93</v>
      </c>
      <c r="F173" s="239"/>
      <c r="G173" s="240"/>
      <c r="H173" s="152"/>
    </row>
    <row r="174" spans="2:8" s="43" customFormat="1" x14ac:dyDescent="0.3">
      <c r="B174" s="44" t="s">
        <v>58</v>
      </c>
      <c r="C174" s="45">
        <v>1</v>
      </c>
      <c r="D174" s="127" t="str">
        <f t="shared" si="35"/>
        <v xml:space="preserve"> 5 min</v>
      </c>
      <c r="E174" s="171" t="s">
        <v>94</v>
      </c>
      <c r="F174" s="239"/>
      <c r="G174" s="240"/>
      <c r="H174" s="152"/>
    </row>
    <row r="175" spans="2:8" s="43" customFormat="1" ht="41.25" thickBot="1" x14ac:dyDescent="0.35">
      <c r="B175" s="45" t="s">
        <v>95</v>
      </c>
      <c r="C175" s="45">
        <v>3</v>
      </c>
      <c r="D175" s="127" t="str">
        <f t="shared" si="35"/>
        <v xml:space="preserve"> 15 min</v>
      </c>
      <c r="E175" s="171" t="s">
        <v>96</v>
      </c>
      <c r="F175" s="239"/>
      <c r="G175" s="240"/>
      <c r="H175" s="152"/>
    </row>
    <row r="176" spans="2:8" s="43" customFormat="1" ht="15" thickBot="1" x14ac:dyDescent="0.35">
      <c r="B176" s="135" t="s">
        <v>68</v>
      </c>
      <c r="C176" s="66">
        <f>SUM(C170:C175)</f>
        <v>38</v>
      </c>
      <c r="D176" s="135" t="str">
        <f xml:space="preserve"> setValueToTime(C176)</f>
        <v>3h 10 min</v>
      </c>
      <c r="E176" s="96"/>
      <c r="F176" s="243"/>
      <c r="G176" s="244"/>
      <c r="H176" s="152"/>
    </row>
    <row r="177" spans="2:8" s="43" customFormat="1" ht="15" thickBot="1" x14ac:dyDescent="0.35">
      <c r="B177" s="60"/>
      <c r="C177" s="60"/>
      <c r="D177" s="60"/>
      <c r="E177" s="60"/>
      <c r="F177" s="60"/>
      <c r="G177" s="60"/>
      <c r="H177" s="152"/>
    </row>
    <row r="178" spans="2:8" s="39" customFormat="1" ht="30" customHeight="1" thickBot="1" x14ac:dyDescent="0.3">
      <c r="B178" s="129" t="s">
        <v>61</v>
      </c>
      <c r="C178" s="137">
        <v>1</v>
      </c>
      <c r="D178" s="137"/>
      <c r="E178" s="130" t="s">
        <v>62</v>
      </c>
      <c r="F178" s="131" t="s">
        <v>83</v>
      </c>
      <c r="G178" s="132" t="s">
        <v>80</v>
      </c>
      <c r="H178" s="151"/>
    </row>
    <row r="179" spans="2:8" s="39" customFormat="1" ht="30" customHeight="1" thickBot="1" x14ac:dyDescent="0.3">
      <c r="B179" s="61" t="s">
        <v>63</v>
      </c>
      <c r="C179" s="134" t="s">
        <v>64</v>
      </c>
      <c r="D179" s="133"/>
      <c r="E179" s="61" t="s">
        <v>65</v>
      </c>
      <c r="F179" s="245" t="s">
        <v>66</v>
      </c>
      <c r="G179" s="246"/>
      <c r="H179" s="151"/>
    </row>
    <row r="180" spans="2:8" s="43" customFormat="1" ht="27" x14ac:dyDescent="0.3">
      <c r="B180" s="40" t="s">
        <v>84</v>
      </c>
      <c r="C180" s="41">
        <v>9</v>
      </c>
      <c r="D180" s="125" t="str">
        <f xml:space="preserve"> IF(C180="","",setValueToTime(C180))</f>
        <v xml:space="preserve"> 45 min</v>
      </c>
      <c r="E180" s="42" t="s">
        <v>85</v>
      </c>
      <c r="F180" s="237"/>
      <c r="G180" s="238"/>
      <c r="H180" s="152"/>
    </row>
    <row r="181" spans="2:8" s="43" customFormat="1" ht="27" x14ac:dyDescent="0.3">
      <c r="B181" s="44" t="s">
        <v>71</v>
      </c>
      <c r="C181" s="45">
        <v>9</v>
      </c>
      <c r="D181" s="126" t="str">
        <f t="shared" ref="D181:D184" si="36" xml:space="preserve"> IF(C181="","",setValueToTime(C181))</f>
        <v xml:space="preserve"> 45 min</v>
      </c>
      <c r="E181" s="46" t="s">
        <v>86</v>
      </c>
      <c r="F181" s="239"/>
      <c r="G181" s="240"/>
      <c r="H181" s="152"/>
    </row>
    <row r="182" spans="2:8" s="43" customFormat="1" ht="27" x14ac:dyDescent="0.3">
      <c r="B182" s="44" t="s">
        <v>56</v>
      </c>
      <c r="C182" s="45">
        <v>24</v>
      </c>
      <c r="D182" s="126" t="str">
        <f t="shared" si="36"/>
        <v>2h</v>
      </c>
      <c r="E182" s="171" t="s">
        <v>88</v>
      </c>
      <c r="F182" s="239"/>
      <c r="G182" s="240"/>
      <c r="H182" s="152"/>
    </row>
    <row r="183" spans="2:8" s="43" customFormat="1" ht="27" x14ac:dyDescent="0.3">
      <c r="B183" s="44" t="s">
        <v>57</v>
      </c>
      <c r="C183" s="45">
        <v>1</v>
      </c>
      <c r="D183" s="126" t="str">
        <f t="shared" si="36"/>
        <v xml:space="preserve"> 5 min</v>
      </c>
      <c r="E183" s="46" t="s">
        <v>87</v>
      </c>
      <c r="F183" s="239"/>
      <c r="G183" s="240"/>
      <c r="H183" s="152"/>
    </row>
    <row r="184" spans="2:8" s="43" customFormat="1" ht="27.75" thickBot="1" x14ac:dyDescent="0.35">
      <c r="B184" s="45" t="s">
        <v>56</v>
      </c>
      <c r="C184" s="45">
        <v>5</v>
      </c>
      <c r="D184" s="127" t="str">
        <f t="shared" si="36"/>
        <v xml:space="preserve"> 25 min</v>
      </c>
      <c r="E184" s="171" t="s">
        <v>89</v>
      </c>
      <c r="F184" s="247" t="s">
        <v>99</v>
      </c>
      <c r="G184" s="248"/>
      <c r="H184" s="152"/>
    </row>
    <row r="185" spans="2:8" s="43" customFormat="1" ht="15" thickBot="1" x14ac:dyDescent="0.35">
      <c r="B185" s="135" t="s">
        <v>68</v>
      </c>
      <c r="C185" s="66">
        <f>SUM(C180:C184)</f>
        <v>48</v>
      </c>
      <c r="D185" s="135" t="str">
        <f xml:space="preserve"> setValueToTime(C185)</f>
        <v>4h</v>
      </c>
      <c r="E185" s="96"/>
      <c r="F185" s="243"/>
      <c r="G185" s="244"/>
      <c r="H185" s="152"/>
    </row>
    <row r="186" spans="2:8" s="43" customFormat="1" x14ac:dyDescent="0.3">
      <c r="B186" s="60"/>
      <c r="C186" s="60"/>
      <c r="D186" s="60"/>
      <c r="E186" s="60"/>
      <c r="F186" s="60"/>
      <c r="G186" s="60"/>
      <c r="H186" s="152"/>
    </row>
  </sheetData>
  <sheetProtection formatRows="0" insertRows="0" insertHyperlinks="0" deleteRows="0" selectLockedCells="1"/>
  <mergeCells count="141">
    <mergeCell ref="F8:G8"/>
    <mergeCell ref="F3:G3"/>
    <mergeCell ref="F4:G4"/>
    <mergeCell ref="F5:G5"/>
    <mergeCell ref="F6:G6"/>
    <mergeCell ref="F7:G7"/>
    <mergeCell ref="F76:G76"/>
    <mergeCell ref="F61:G61"/>
    <mergeCell ref="F62:G62"/>
    <mergeCell ref="F63:G63"/>
    <mergeCell ref="F47:G47"/>
    <mergeCell ref="F42:G42"/>
    <mergeCell ref="F43:G43"/>
    <mergeCell ref="F44:G44"/>
    <mergeCell ref="F45:G45"/>
    <mergeCell ref="F46:G46"/>
    <mergeCell ref="F69:G69"/>
    <mergeCell ref="F64:G64"/>
    <mergeCell ref="F65:G65"/>
    <mergeCell ref="F59:G59"/>
    <mergeCell ref="F60:G60"/>
    <mergeCell ref="F26:G26"/>
    <mergeCell ref="F19:G19"/>
    <mergeCell ref="F20:G20"/>
    <mergeCell ref="F21:G21"/>
    <mergeCell ref="F22:G22"/>
    <mergeCell ref="F23:G23"/>
    <mergeCell ref="F24:G24"/>
    <mergeCell ref="F25:G25"/>
    <mergeCell ref="F32:G32"/>
    <mergeCell ref="F29:G29"/>
    <mergeCell ref="F30:G30"/>
    <mergeCell ref="F31:G31"/>
    <mergeCell ref="F39:G39"/>
    <mergeCell ref="F50:G50"/>
    <mergeCell ref="F51:G51"/>
    <mergeCell ref="F52:G52"/>
    <mergeCell ref="F53:G53"/>
    <mergeCell ref="F54:G54"/>
    <mergeCell ref="F55:G55"/>
    <mergeCell ref="F56:G56"/>
    <mergeCell ref="F68:G68"/>
    <mergeCell ref="F146:G146"/>
    <mergeCell ref="F147:G147"/>
    <mergeCell ref="F162:G162"/>
    <mergeCell ref="F163:G163"/>
    <mergeCell ref="F164:G164"/>
    <mergeCell ref="F79:G79"/>
    <mergeCell ref="F80:G80"/>
    <mergeCell ref="F86:G86"/>
    <mergeCell ref="F87:G87"/>
    <mergeCell ref="F88:G88"/>
    <mergeCell ref="F89:G89"/>
    <mergeCell ref="F81:G81"/>
    <mergeCell ref="F82:G82"/>
    <mergeCell ref="F83:G83"/>
    <mergeCell ref="F185:G185"/>
    <mergeCell ref="F179:G179"/>
    <mergeCell ref="F180:G180"/>
    <mergeCell ref="F181:G181"/>
    <mergeCell ref="F182:G182"/>
    <mergeCell ref="F183:G183"/>
    <mergeCell ref="F184:G184"/>
    <mergeCell ref="F171:G171"/>
    <mergeCell ref="F172:G172"/>
    <mergeCell ref="F173:G173"/>
    <mergeCell ref="F174:G174"/>
    <mergeCell ref="F175:G175"/>
    <mergeCell ref="F176:G176"/>
    <mergeCell ref="F165:G165"/>
    <mergeCell ref="F166:G166"/>
    <mergeCell ref="F114:G114"/>
    <mergeCell ref="F115:G115"/>
    <mergeCell ref="F116:G116"/>
    <mergeCell ref="F169:G169"/>
    <mergeCell ref="F170:G170"/>
    <mergeCell ref="F148:G148"/>
    <mergeCell ref="F155:G155"/>
    <mergeCell ref="F156:G156"/>
    <mergeCell ref="F157:G157"/>
    <mergeCell ref="F158:G158"/>
    <mergeCell ref="F159:G159"/>
    <mergeCell ref="F132:G132"/>
    <mergeCell ref="F128:G128"/>
    <mergeCell ref="F129:G129"/>
    <mergeCell ref="F130:G130"/>
    <mergeCell ref="F131:G131"/>
    <mergeCell ref="F149:G149"/>
    <mergeCell ref="F150:G150"/>
    <mergeCell ref="F151:G151"/>
    <mergeCell ref="F152:G152"/>
    <mergeCell ref="F144:G144"/>
    <mergeCell ref="F145:G145"/>
    <mergeCell ref="F113:G113"/>
    <mergeCell ref="F140:G140"/>
    <mergeCell ref="F141:G141"/>
    <mergeCell ref="F119:G119"/>
    <mergeCell ref="F120:G120"/>
    <mergeCell ref="F121:G121"/>
    <mergeCell ref="F122:G122"/>
    <mergeCell ref="F123:G123"/>
    <mergeCell ref="F124:G124"/>
    <mergeCell ref="F125:G125"/>
    <mergeCell ref="F135:G135"/>
    <mergeCell ref="F136:G136"/>
    <mergeCell ref="F137:G137"/>
    <mergeCell ref="F138:G138"/>
    <mergeCell ref="F139:G139"/>
    <mergeCell ref="F111:G111"/>
    <mergeCell ref="F99:G99"/>
    <mergeCell ref="F100:G100"/>
    <mergeCell ref="F101:G101"/>
    <mergeCell ref="F102:G102"/>
    <mergeCell ref="F103:G103"/>
    <mergeCell ref="F104:G104"/>
    <mergeCell ref="F105:G105"/>
    <mergeCell ref="F112:G112"/>
    <mergeCell ref="F16:G16"/>
    <mergeCell ref="F11:G11"/>
    <mergeCell ref="F12:G12"/>
    <mergeCell ref="F13:G13"/>
    <mergeCell ref="F14:G14"/>
    <mergeCell ref="F15:G15"/>
    <mergeCell ref="F106:G106"/>
    <mergeCell ref="F109:G109"/>
    <mergeCell ref="F110:G110"/>
    <mergeCell ref="F96:G96"/>
    <mergeCell ref="F93:G93"/>
    <mergeCell ref="F94:G94"/>
    <mergeCell ref="F95:G95"/>
    <mergeCell ref="F90:G90"/>
    <mergeCell ref="F77:G77"/>
    <mergeCell ref="F78:G78"/>
    <mergeCell ref="F73:G73"/>
    <mergeCell ref="F70:G70"/>
    <mergeCell ref="F71:G71"/>
    <mergeCell ref="F72:G72"/>
    <mergeCell ref="F35:G35"/>
    <mergeCell ref="F36:G36"/>
    <mergeCell ref="F37:G37"/>
    <mergeCell ref="F38:G38"/>
  </mergeCells>
  <phoneticPr fontId="0" type="noConversion"/>
  <conditionalFormatting sqref="C185">
    <cfRule type="cellIs" dxfId="23" priority="22" operator="greaterThan">
      <formula>60</formula>
    </cfRule>
  </conditionalFormatting>
  <conditionalFormatting sqref="C176">
    <cfRule type="cellIs" dxfId="22" priority="21" operator="greaterThan">
      <formula>60</formula>
    </cfRule>
  </conditionalFormatting>
  <conditionalFormatting sqref="C166">
    <cfRule type="cellIs" dxfId="21" priority="20" operator="greaterThan">
      <formula>60</formula>
    </cfRule>
  </conditionalFormatting>
  <conditionalFormatting sqref="C159">
    <cfRule type="cellIs" dxfId="20" priority="19" operator="greaterThan">
      <formula>60</formula>
    </cfRule>
  </conditionalFormatting>
  <conditionalFormatting sqref="C152">
    <cfRule type="cellIs" dxfId="19" priority="18" operator="greaterThan">
      <formula>60</formula>
    </cfRule>
  </conditionalFormatting>
  <conditionalFormatting sqref="C141">
    <cfRule type="cellIs" dxfId="18" priority="17" operator="greaterThan">
      <formula>60</formula>
    </cfRule>
  </conditionalFormatting>
  <conditionalFormatting sqref="C132">
    <cfRule type="cellIs" dxfId="17" priority="16" operator="greaterThan">
      <formula>60</formula>
    </cfRule>
  </conditionalFormatting>
  <conditionalFormatting sqref="C125">
    <cfRule type="cellIs" dxfId="16" priority="15" operator="greaterThan">
      <formula>60</formula>
    </cfRule>
  </conditionalFormatting>
  <conditionalFormatting sqref="C116">
    <cfRule type="cellIs" dxfId="15" priority="14" operator="greaterThan">
      <formula>60</formula>
    </cfRule>
  </conditionalFormatting>
  <conditionalFormatting sqref="C106">
    <cfRule type="cellIs" dxfId="14" priority="13" operator="greaterThan">
      <formula>60</formula>
    </cfRule>
  </conditionalFormatting>
  <conditionalFormatting sqref="C96">
    <cfRule type="cellIs" dxfId="13" priority="12" operator="greaterThan">
      <formula>60</formula>
    </cfRule>
  </conditionalFormatting>
  <conditionalFormatting sqref="C90">
    <cfRule type="cellIs" dxfId="12" priority="11" operator="greaterThan">
      <formula>60</formula>
    </cfRule>
  </conditionalFormatting>
  <conditionalFormatting sqref="C83">
    <cfRule type="cellIs" dxfId="11" priority="10" operator="greaterThan">
      <formula>60</formula>
    </cfRule>
  </conditionalFormatting>
  <conditionalFormatting sqref="C73">
    <cfRule type="cellIs" dxfId="10" priority="9" operator="greaterThan">
      <formula>60</formula>
    </cfRule>
  </conditionalFormatting>
  <conditionalFormatting sqref="C65">
    <cfRule type="cellIs" dxfId="9" priority="8" operator="greaterThan">
      <formula>60</formula>
    </cfRule>
  </conditionalFormatting>
  <conditionalFormatting sqref="C56">
    <cfRule type="cellIs" dxfId="8" priority="7" operator="greaterThan">
      <formula>60</formula>
    </cfRule>
  </conditionalFormatting>
  <conditionalFormatting sqref="C47">
    <cfRule type="cellIs" dxfId="7" priority="6" operator="greaterThan">
      <formula>60</formula>
    </cfRule>
  </conditionalFormatting>
  <conditionalFormatting sqref="C39">
    <cfRule type="cellIs" dxfId="6" priority="5" operator="greaterThan">
      <formula>60</formula>
    </cfRule>
  </conditionalFormatting>
  <conditionalFormatting sqref="C32">
    <cfRule type="cellIs" dxfId="5" priority="4" operator="greaterThan">
      <formula>60</formula>
    </cfRule>
  </conditionalFormatting>
  <conditionalFormatting sqref="C26">
    <cfRule type="cellIs" dxfId="4" priority="3" operator="greaterThan">
      <formula>60</formula>
    </cfRule>
  </conditionalFormatting>
  <conditionalFormatting sqref="C16">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0:C184 C170:C175 C163:C165 C156:C158 C145:C151 C136:C140 C129:C131 C120:C124 C110:C115 C100:C105 C94:C95 C87:C89 C77:C82 C69:C72 C60:C64 C51:C55 C43:C46 C36:C38 C30:C31 C20:C25 C12:C15 C4:C7"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6 C166 C159 C152 C141 C132 C125 C116 C106 C96 C90 C83 C73 C65 C56 C47 C39 C32 C26 C16 C8" xr:uid="{362A2729-E50A-43BF-8794-39FBF091B966}">
      <formula1>0</formula1>
      <formula2>60</formula2>
    </dataValidation>
  </dataValidations>
  <hyperlinks>
    <hyperlink ref="F170" r:id="rId1" xr:uid="{12887341-368F-4919-8FF9-77CD3FB517D9}"/>
    <hyperlink ref="F184" r:id="rId2" xr:uid="{F9855F73-5C98-4E18-B6D1-3AC6E283E362}"/>
    <hyperlink ref="F163" r:id="rId3" xr:uid="{2F0D0CFB-1110-414D-9A0B-B67BEFB9434D}"/>
    <hyperlink ref="F156" r:id="rId4" xr:uid="{CAD0D519-DD64-4838-9671-1C468CDA9C32}"/>
    <hyperlink ref="F158" r:id="rId5" xr:uid="{16261777-5B34-4725-90FA-DD39F3C8C7CE}"/>
    <hyperlink ref="F157" r:id="rId6" xr:uid="{902FC26C-0B51-4DE2-9894-E7AC98620F63}"/>
    <hyperlink ref="F147" r:id="rId7" xr:uid="{95AE8E8A-15F3-4EA5-BA74-A3991703D63F}"/>
    <hyperlink ref="F146" r:id="rId8" xr:uid="{EEAC2FB7-7C73-490B-B621-7034064F6A8D}"/>
    <hyperlink ref="F151" r:id="rId9" xr:uid="{B2EE3D3D-8C10-48E0-A965-BDE9BB681B6E}"/>
    <hyperlink ref="F148" r:id="rId10" xr:uid="{D0CF9172-5DCE-405A-BADE-A28BC12613E4}"/>
    <hyperlink ref="F149" r:id="rId11" xr:uid="{1FF17422-17CA-44FF-AA4D-19147B516303}"/>
    <hyperlink ref="F136" r:id="rId12" xr:uid="{F5666A2C-9345-4681-A4AE-6CDEFD451EF0}"/>
    <hyperlink ref="F139" r:id="rId13" xr:uid="{0A38ED83-43A6-40AA-B3D2-1A5FCDBA47F7}"/>
    <hyperlink ref="F140" r:id="rId14" xr:uid="{FDF0B071-ED1E-4865-85C8-D0B3B100B631}"/>
    <hyperlink ref="F113" r:id="rId15" xr:uid="{7BF07213-1DAA-4BE8-9820-2E4AED94E6F9}"/>
    <hyperlink ref="F122" r:id="rId16" xr:uid="{B835A83F-4BE3-4EDD-8666-E1E2CE223E31}"/>
    <hyperlink ref="F115" r:id="rId17" xr:uid="{FE2562AE-16BB-4BA0-9C76-EE3D5D97C444}"/>
    <hyperlink ref="F121" r:id="rId18" xr:uid="{E00BA919-86C4-43D3-9AA0-45A14A86493D}"/>
    <hyperlink ref="F103" r:id="rId19" xr:uid="{BD1E45F5-95AB-4A96-A96B-A23A6319B3DD}"/>
    <hyperlink ref="F102" r:id="rId20" xr:uid="{11A98000-C909-4F25-A9E1-F0484B123E68}"/>
    <hyperlink ref="F82" r:id="rId21" xr:uid="{F1AB19E4-6764-4D0B-912C-0BCB312B6010}"/>
    <hyperlink ref="F80" r:id="rId22" xr:uid="{3195F3E0-C3B9-4FD9-9BCE-5905126D3C2A}"/>
    <hyperlink ref="F55" r:id="rId23" xr:uid="{94B38E14-9660-49B7-9786-D10A71733740}"/>
    <hyperlink ref="F53" r:id="rId24" xr:uid="{9098F789-08BB-41CA-8694-C6EF79B53493}"/>
    <hyperlink ref="F25" r:id="rId25" xr:uid="{07565C2D-89AF-4082-B283-1E1E7A9537A6}"/>
    <hyperlink ref="F23" r:id="rId26" xr:uid="{C03B3ABE-9B94-41FC-9304-C206537EB647}"/>
    <hyperlink ref="F24" r:id="rId27" xr:uid="{476DE0DB-FE72-4B84-80EF-2A19A2C764E7}"/>
    <hyperlink ref="F13" r:id="rId28" xr:uid="{2E65AF45-E913-49C9-81A5-0199BA20C109}"/>
    <hyperlink ref="F7" r:id="rId29" xr:uid="{C5B96981-0E04-4F11-B192-A51CDF8CDED7}"/>
  </hyperlinks>
  <printOptions horizontalCentered="1" verticalCentered="1"/>
  <pageMargins left="0.25" right="0.25" top="0.75" bottom="0.75" header="0.3" footer="0.3"/>
  <pageSetup paperSize="9" fitToHeight="0" orientation="landscape" r:id="rId30"/>
  <headerFooter alignWithMargins="0">
    <oddHeader>&amp;L&amp;"ETML,Normal"&amp;14ETML&amp;R&amp;14&amp;USection Informatique</oddHeader>
    <oddFooter>&amp;L&amp;14&amp;D - Morgan Dussault&amp;C&amp;14&amp;F - &amp;A&amp;R&amp;14&amp;P/&amp;N</oddFooter>
  </headerFooter>
  <drawing r:id="rId31"/>
  <legacyDrawing r:id="rId32"/>
  <controls>
    <mc:AlternateContent xmlns:mc="http://schemas.openxmlformats.org/markup-compatibility/2006">
      <mc:Choice Requires="x14">
        <control shapeId="9224" r:id="rId33" name="btnRapatriementJournal">
          <controlPr defaultSize="0" autoLine="0" r:id="rId34">
            <anchor moveWithCells="1">
              <from>
                <xdr:col>1</xdr:col>
                <xdr:colOff>104775</xdr:colOff>
                <xdr:row>0</xdr:row>
                <xdr:rowOff>85725</xdr:rowOff>
              </from>
              <to>
                <xdr:col>2</xdr:col>
                <xdr:colOff>457200</xdr:colOff>
                <xdr:row>0</xdr:row>
                <xdr:rowOff>552450</xdr:rowOff>
              </to>
            </anchor>
          </controlPr>
        </control>
      </mc:Choice>
      <mc:Fallback>
        <control shapeId="9224" r:id="rId33" name="btnRapatriementJournal"/>
      </mc:Fallback>
    </mc:AlternateContent>
    <mc:AlternateContent xmlns:mc="http://schemas.openxmlformats.org/markup-compatibility/2006">
      <mc:Choice Requires="x14">
        <control shapeId="9220" r:id="rId35" name="btnAjoutSeqJournal">
          <controlPr defaultSize="0" autoLine="0" r:id="rId36">
            <anchor moveWithCells="1">
              <from>
                <xdr:col>3</xdr:col>
                <xdr:colOff>85725</xdr:colOff>
                <xdr:row>0</xdr:row>
                <xdr:rowOff>85725</xdr:rowOff>
              </from>
              <to>
                <xdr:col>4</xdr:col>
                <xdr:colOff>762000</xdr:colOff>
                <xdr:row>0</xdr:row>
                <xdr:rowOff>561975</xdr:rowOff>
              </to>
            </anchor>
          </controlPr>
        </control>
      </mc:Choice>
      <mc:Fallback>
        <control shapeId="9220" r:id="rId35"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B180:B184 B170:B175 B163:B165 B156:B158 B137:B140 B130 B122:B124 B110:B115 B101:B105 B94:B95 B88:B89 B77:B82 B70:B72 B61:B64 B51:B55 B44:B46 B36:B38 B31 B20:B25 B13:B15 B5:B7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2025-05-21T14:19:22Z</cp:lastPrinted>
  <dcterms:created xsi:type="dcterms:W3CDTF">1996-10-21T11:03:58Z</dcterms:created>
  <dcterms:modified xsi:type="dcterms:W3CDTF">2025-05-23T10:14:08Z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