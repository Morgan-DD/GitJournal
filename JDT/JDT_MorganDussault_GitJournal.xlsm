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CC7778BA-84F3-4DC4-9FFE-EAFB31E605CA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C48" i="12"/>
  <c r="D47" i="12"/>
  <c r="D46" i="12"/>
  <c r="C58" i="12"/>
  <c r="C67" i="12"/>
  <c r="C74" i="12"/>
  <c r="C83" i="12"/>
  <c r="D82" i="12"/>
  <c r="C94" i="12"/>
  <c r="C101" i="12"/>
  <c r="C108" i="12"/>
  <c r="C118" i="12"/>
  <c r="D30" i="12"/>
  <c r="D18" i="12"/>
  <c r="D17" i="12"/>
  <c r="D16" i="12"/>
  <c r="D12" i="12"/>
  <c r="D24" i="12"/>
  <c r="D72" i="12"/>
  <c r="D63" i="12"/>
  <c r="D83" i="12"/>
  <c r="D66" i="12"/>
  <c r="D36" i="12"/>
  <c r="D101" i="12"/>
  <c r="D62" i="12"/>
  <c r="D87" i="12"/>
  <c r="D73" i="12"/>
  <c r="D54" i="12"/>
  <c r="D81" i="12"/>
  <c r="D48" i="12"/>
  <c r="D78" i="12"/>
  <c r="D44" i="12"/>
  <c r="D40" i="12"/>
  <c r="D90" i="12"/>
  <c r="D57" i="12"/>
  <c r="D100" i="12"/>
  <c r="D116" i="12"/>
  <c r="D53" i="12"/>
  <c r="D94" i="12"/>
  <c r="D113" i="12"/>
  <c r="D99" i="12"/>
  <c r="D43" i="12"/>
  <c r="D93" i="12"/>
  <c r="D56" i="12"/>
  <c r="D92" i="12"/>
  <c r="D112" i="12"/>
  <c r="D79" i="12"/>
  <c r="D115" i="12"/>
  <c r="D105" i="12"/>
  <c r="D89" i="12"/>
  <c r="D58" i="12"/>
  <c r="D74" i="12"/>
  <c r="D118" i="12"/>
  <c r="D71" i="12"/>
  <c r="D98" i="12"/>
  <c r="D55" i="12"/>
  <c r="D67" i="12"/>
  <c r="D65" i="12"/>
  <c r="D107" i="12"/>
  <c r="D64" i="12"/>
  <c r="D80" i="12"/>
  <c r="D29" i="12"/>
  <c r="D117" i="12"/>
  <c r="D45" i="12"/>
  <c r="D42" i="12"/>
  <c r="D28" i="12"/>
  <c r="D106" i="12"/>
  <c r="D108" i="12"/>
  <c r="D114" i="12"/>
  <c r="D41" i="12"/>
  <c r="D52" i="12"/>
  <c r="D88" i="12"/>
  <c r="C127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127" i="12"/>
  <c r="D124" i="12"/>
  <c r="D123" i="12"/>
  <c r="D125" i="12"/>
  <c r="D126" i="12"/>
  <c r="D12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<sst xmlns="http://schemas.openxmlformats.org/spreadsheetml/2006/main" count="646" uniqueCount="137">
  <si>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</si>
  <si>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</si>
  <si>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</si>
  <si>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</si>
  <si>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</si>
  <si>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</si>
  <si>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</si>
  <si>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</si>
  <si>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</si>
  <si>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</si>
  <si>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</si>
  <si>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</si>
  <si>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</si>
  <si>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</si>
  <si>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</si>
  <si>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</si>
  <si>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</si>
  <si>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</si>
  <si>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</si>
  <si>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</si>
  <si>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</si>
  <si>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</si>
  <si>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</si>
  <si>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</si>
  <si>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</si>
  <si>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</si>
  <si>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</si>
  <si>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</si>
  <si>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</si>
  <si>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</si>
  <si>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</si>
  <si>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</si>
  <si>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</si>
  <si>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</si>
  <si>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</si>
  <si>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</si>
  <si>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</si>
  <si>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</si>
  <si>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</si>
  <si>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</si>
  <si>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</si>
  <si>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</si>
  <si>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</si>
  <si>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</si>
  <si>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</si>
  <si>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</si>
  <si>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</si>
  <si>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</si>
  <si>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</si>
  <si>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</si>
  <si>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</si>
  <si>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</si>
  <si>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</si>
  <si>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</si>
  <si>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</si>
  <si>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</si>
  <si>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</si>
  <si>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</si>
  <si>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</si>
  <si>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</si>
  <si>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</si>
  <si>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</si>
  <si>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</si>
  <si>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</si>
  <si>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</si>
  <si>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</si>
  <si>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</si>
  <si>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</si>
  <si>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</si>
  <si>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</si>
  <si>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</si>
  <si>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</si>
  <si>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</si>
  <si>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</si>
  <si>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</si>
  <si>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</si>
  <si>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</si>
  <si>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</si>
  <si>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</si>
  <si>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</si>
  <si>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</si>
  <si>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</si>
  <si>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</si>
  <si>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</si>
  <si>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</si>
  <si>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</si>
  <si>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</si>
  <si>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</si>
  <si>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</si>
  <si>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</si>
  <si>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</si>
  <si>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</si>
  <si>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</si>
  <si>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</si>
  <si>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</si>
  <si>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</si>
  <si>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</si>
  <si>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</si>
  <si>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</si>
  <si>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</si>
  <si>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</si>
  <si>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</si>
  <si>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</si>
  <si>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</si>
  <si>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</si>
  <si>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</si>
  <si>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</si>
  <si>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</si>
  <si>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</si>
  <si>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</si>
  <si>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</si>
  <si>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</si>
  <si>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</si>
  <si>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</si>
  <si>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</si>
  <si>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</si>
  <si>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</si>
  <si>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</si>
  <si>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</si>
  <si>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</si>
  <si>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</si>
  <si>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</si>
  <si>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</si>
  <si>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</si>
  <si>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</si>
  <si>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</si>
  <si>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</si>
  <si>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</si>
  <si>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</si>
  <si>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</si>
  <si>
    <t>Retours sur la doc et les user stories</t>
  </si>
  <si>
    <t>mise à jour de la doc après les retours du CP</t>
  </si>
  <si>
    <t>Révisions de user stories après les retours du CP</t>
  </si>
  <si>
    <t>Creation de toute la logique pour l'affichage du JDT [WIP]</t>
  </si>
  <si>
    <t>creation de l'interface pour l'affichage du JDT [WIP]</t>
  </si>
  <si>
    <t>Creation de toute la logique pour l'affichage du JDT [WIP]. Pour l'instant le JDT est affiché mais pas sauvegardé ni modifiable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</si>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</sst>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26" Type="http://schemas.openxmlformats.org/officeDocument/2006/relationships/control" Target="../activeX/activeX7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hyperlink" Target="https://github.com/Morgan-DD/GitJournal/blob/master/Doc/Documentation_MorganDussault_GitJournal.docx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control" Target="../activeX/activeX6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vmlDrawing" Target="../drawings/vmlDrawing4.v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hyperlink" Target="https://github.com/Morgan-DD/GitJournal/issues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drawing" Target="../drawings/drawing4.xml"/><Relationship Id="rId27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9" t="s">
        <v>3</v>
      </c>
      <c r="D1" s="229"/>
      <c r="E1" s="2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30"/>
      <c r="D7" s="230"/>
      <c r="E7" s="23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7" t="str">
        <f>E96</f>
        <v/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94"/>
      <c r="W9" s="228" t="s">
        <v>15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7" t="str">
        <f>E98</f>
        <v>7h 10 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7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  <c r="GK10" s="225"/>
      <c r="GL10" s="225"/>
      <c r="GM10" s="225"/>
      <c r="GN10" s="225"/>
      <c r="GO10" s="225"/>
      <c r="GP10" s="225"/>
      <c r="GQ10" s="225"/>
      <c r="GR10" s="225"/>
      <c r="GS10" s="225"/>
      <c r="GT10" s="225"/>
      <c r="GU10" s="225"/>
      <c r="GV10" s="225"/>
      <c r="GW10" s="225"/>
      <c r="GX10" s="225"/>
      <c r="GY10" s="225"/>
      <c r="GZ10" s="225"/>
      <c r="HA10" s="225"/>
      <c r="HB10" s="225"/>
      <c r="HC10" s="225"/>
      <c r="HD10" s="225"/>
      <c r="HE10" s="225"/>
      <c r="HF10" s="225"/>
      <c r="HG10" s="225"/>
      <c r="HH10" s="225"/>
      <c r="HI10" s="225"/>
      <c r="HJ10" s="225"/>
      <c r="HK10" s="225"/>
      <c r="HL10" s="225"/>
      <c r="HM10" s="225"/>
      <c r="HN10" s="225"/>
      <c r="HO10" s="225"/>
      <c r="HP10" s="225"/>
      <c r="HQ10" s="225"/>
      <c r="HR10" s="225"/>
      <c r="HS10" s="225"/>
      <c r="HT10" s="225"/>
      <c r="HU10" s="225"/>
      <c r="HV10" s="225"/>
      <c r="HW10" s="225"/>
      <c r="HX10" s="225"/>
      <c r="HY10" s="225"/>
      <c r="HZ10" s="225"/>
      <c r="IA10" s="225"/>
      <c r="IB10" s="225"/>
      <c r="IC10" s="225"/>
      <c r="ID10" s="225"/>
      <c r="IE10" s="225"/>
      <c r="IF10" s="225"/>
      <c r="IG10" s="225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  <c r="KP10" s="225"/>
      <c r="KQ10" s="225"/>
      <c r="KR10" s="225"/>
      <c r="KS10" s="225"/>
      <c r="KT10" s="225"/>
      <c r="KU10" s="225"/>
      <c r="KV10" s="225"/>
      <c r="KW10" s="225"/>
      <c r="KX10" s="225"/>
      <c r="KY10" s="225"/>
      <c r="KZ10" s="225"/>
      <c r="LA10" s="225"/>
      <c r="LB10" s="225"/>
      <c r="LC10" s="225"/>
      <c r="LD10" s="225"/>
      <c r="LE10" s="225"/>
      <c r="LF10" s="225"/>
      <c r="LG10" s="225"/>
      <c r="LH10" s="225"/>
      <c r="LI10" s="225"/>
      <c r="LJ10" s="225"/>
      <c r="LK10" s="225"/>
      <c r="LL10" s="225"/>
      <c r="LM10" s="225"/>
      <c r="LN10" s="225"/>
      <c r="LO10" s="225"/>
      <c r="LP10" s="225"/>
      <c r="LQ10" s="225"/>
      <c r="LR10" s="225"/>
      <c r="LS10" s="225"/>
      <c r="LT10" s="225"/>
      <c r="LU10" s="225"/>
      <c r="LV10" s="225"/>
      <c r="LW10" s="225"/>
      <c r="LX10" s="225"/>
      <c r="LY10" s="225"/>
      <c r="LZ10" s="225"/>
      <c r="MA10" s="225"/>
      <c r="MB10" s="225"/>
      <c r="MC10" s="225"/>
      <c r="MD10" s="225"/>
      <c r="ME10" s="225"/>
      <c r="MF10" s="225"/>
      <c r="MG10" s="225"/>
      <c r="MH10" s="225"/>
      <c r="MI10" s="225"/>
      <c r="MJ10" s="225"/>
      <c r="MK10" s="225"/>
      <c r="ML10" s="225"/>
      <c r="MM10" s="225"/>
      <c r="MN10" s="225"/>
      <c r="MO10" s="225"/>
      <c r="MP10" s="225"/>
      <c r="MQ10" s="225"/>
      <c r="MR10" s="225"/>
      <c r="MS10" s="225"/>
      <c r="MT10" s="225"/>
      <c r="MU10" s="225"/>
      <c r="MV10" s="225"/>
      <c r="MW10" s="225"/>
      <c r="MX10" s="225"/>
      <c r="MY10" s="225"/>
      <c r="MZ10" s="225"/>
      <c r="NA10" s="225"/>
      <c r="NB10" s="225"/>
      <c r="NC10" s="225"/>
      <c r="ND10" s="225"/>
      <c r="NE10" s="225"/>
      <c r="NF10" s="225"/>
      <c r="NG10" s="225"/>
      <c r="NH10" s="225"/>
      <c r="NI10" s="225"/>
      <c r="NJ10" s="225"/>
      <c r="NK10" s="225"/>
      <c r="NL10" s="225"/>
      <c r="NM10" s="225"/>
      <c r="NN10" s="225"/>
      <c r="NO10" s="225"/>
      <c r="NP10" s="225"/>
      <c r="NQ10" s="225"/>
      <c r="NR10" s="225"/>
      <c r="NS10" s="225"/>
      <c r="NT10" s="225"/>
      <c r="NU10" s="225"/>
      <c r="NV10" s="225"/>
      <c r="NW10" s="225"/>
      <c r="NX10" s="225"/>
      <c r="NY10" s="225"/>
      <c r="NZ10" s="225"/>
      <c r="OA10" s="225"/>
      <c r="OB10" s="225"/>
      <c r="OC10" s="225"/>
      <c r="OD10" s="225"/>
      <c r="OE10" s="225"/>
      <c r="OF10" s="225"/>
      <c r="OG10" s="225"/>
      <c r="OH10" s="225"/>
      <c r="OI10" s="225"/>
      <c r="OJ10" s="225"/>
      <c r="OK10" s="225"/>
      <c r="OL10" s="225"/>
      <c r="OM10" s="225"/>
      <c r="ON10" s="225"/>
      <c r="OO10" s="225"/>
      <c r="OP10" s="225"/>
      <c r="OQ10" s="225"/>
      <c r="OR10" s="225"/>
      <c r="OS10" s="225"/>
      <c r="OT10" s="225"/>
      <c r="OU10" s="225"/>
      <c r="OV10" s="225"/>
      <c r="OW10" s="225"/>
      <c r="OX10" s="225"/>
      <c r="OY10" s="225"/>
      <c r="OZ10" s="225"/>
      <c r="PA10" s="225"/>
      <c r="PB10" s="225"/>
      <c r="PC10" s="225"/>
      <c r="PD10" s="225"/>
      <c r="PE10" s="225"/>
      <c r="PF10" s="225"/>
      <c r="PG10" s="225"/>
      <c r="PH10" s="225"/>
      <c r="PI10" s="225"/>
      <c r="PJ10" s="225"/>
      <c r="PK10" s="225"/>
      <c r="PL10" s="225"/>
      <c r="PM10" s="225"/>
      <c r="PN10" s="225"/>
      <c r="PO10" s="225"/>
      <c r="PP10" s="225"/>
      <c r="PQ10" s="225"/>
      <c r="PR10" s="225"/>
      <c r="PS10" s="225"/>
      <c r="PT10" s="225"/>
      <c r="PU10" s="225"/>
      <c r="PV10" s="225"/>
      <c r="PW10" s="225"/>
      <c r="PX10" s="225"/>
      <c r="PY10" s="225"/>
      <c r="PZ10" s="225"/>
      <c r="QA10" s="225"/>
      <c r="QB10" s="225"/>
      <c r="QC10" s="225"/>
      <c r="QD10" s="225"/>
      <c r="QE10" s="225"/>
      <c r="QF10" s="225"/>
      <c r="QG10" s="225"/>
      <c r="QH10" s="225"/>
      <c r="QI10" s="225"/>
      <c r="QJ10" s="225"/>
      <c r="QK10" s="225"/>
      <c r="QL10" s="225"/>
      <c r="QM10" s="225"/>
      <c r="QN10" s="225"/>
      <c r="QO10" s="225"/>
      <c r="QP10" s="225"/>
      <c r="QQ10" s="225"/>
      <c r="QR10" s="225"/>
      <c r="QS10" s="225"/>
      <c r="QT10" s="225"/>
      <c r="QU10" s="225"/>
      <c r="QV10" s="225"/>
      <c r="QW10" s="225"/>
      <c r="QX10" s="225"/>
      <c r="QY10" s="225"/>
      <c r="QZ10" s="225"/>
      <c r="RA10" s="225"/>
      <c r="RB10" s="225"/>
      <c r="RC10" s="225"/>
      <c r="RD10" s="225"/>
      <c r="RE10" s="225"/>
      <c r="RF10" s="225"/>
      <c r="RG10" s="225"/>
      <c r="RH10" s="225"/>
      <c r="RI10" s="225"/>
      <c r="RJ10" s="225"/>
      <c r="RK10" s="225"/>
      <c r="RL10" s="225"/>
      <c r="RM10" s="225"/>
      <c r="RN10" s="225"/>
      <c r="RO10" s="225"/>
      <c r="RP10" s="225"/>
      <c r="RQ10" s="225"/>
      <c r="RR10" s="225"/>
      <c r="RS10" s="225"/>
      <c r="RT10" s="225"/>
      <c r="RU10" s="225"/>
      <c r="RV10" s="225"/>
      <c r="RW10" s="225"/>
      <c r="RX10" s="225"/>
      <c r="RY10" s="225"/>
      <c r="RZ10" s="225"/>
      <c r="SA10" s="225"/>
      <c r="SB10" s="225"/>
      <c r="SC10" s="225"/>
      <c r="SD10" s="225"/>
      <c r="SE10" s="225"/>
      <c r="SF10" s="225"/>
      <c r="SG10" s="225"/>
      <c r="SH10" s="225"/>
      <c r="SI10" s="225"/>
      <c r="SJ10" s="225"/>
      <c r="SK10" s="225"/>
      <c r="SL10" s="225"/>
      <c r="SM10" s="225"/>
      <c r="SN10" s="225"/>
      <c r="SO10" s="225"/>
      <c r="SP10" s="225"/>
      <c r="SQ10" s="225"/>
      <c r="SR10" s="225"/>
      <c r="SS10" s="225"/>
      <c r="ST10" s="225"/>
      <c r="SU10" s="225"/>
      <c r="SV10" s="225"/>
      <c r="SW10" s="225"/>
      <c r="SX10" s="225"/>
      <c r="SY10" s="225"/>
      <c r="SZ10" s="225"/>
      <c r="TA10" s="225"/>
      <c r="TB10" s="225"/>
      <c r="TC10" s="225"/>
      <c r="TD10" s="225"/>
      <c r="TE10" s="225"/>
      <c r="TF10" s="225"/>
      <c r="TG10" s="225"/>
      <c r="TH10" s="225"/>
      <c r="TI10" s="225"/>
      <c r="TJ10" s="225"/>
      <c r="TK10" s="225"/>
      <c r="TL10" s="225"/>
      <c r="TM10" s="225"/>
      <c r="TN10" s="225"/>
      <c r="TO10" s="225"/>
      <c r="TP10" s="225"/>
      <c r="TQ10" s="225"/>
      <c r="TR10" s="225"/>
      <c r="TS10" s="225"/>
      <c r="TT10" s="225"/>
      <c r="TU10" s="225"/>
      <c r="TV10" s="225"/>
      <c r="TW10" s="225"/>
      <c r="TX10" s="225"/>
      <c r="TY10" s="225"/>
      <c r="TZ10" s="225"/>
      <c r="UA10" s="225"/>
      <c r="UB10" s="225"/>
      <c r="UC10" s="225"/>
      <c r="UD10" s="225"/>
      <c r="UE10" s="225"/>
      <c r="UF10" s="225"/>
      <c r="UG10" s="225"/>
      <c r="UH10" s="225"/>
      <c r="UI10" s="225"/>
      <c r="UJ10" s="225"/>
      <c r="UK10" s="225"/>
      <c r="UL10" s="225"/>
      <c r="UM10" s="225"/>
      <c r="UN10" s="225"/>
      <c r="UO10" s="225"/>
      <c r="UP10" s="225"/>
      <c r="UQ10" s="225"/>
      <c r="UR10" s="225"/>
      <c r="US10" s="225"/>
      <c r="UT10" s="225"/>
      <c r="UU10" s="225"/>
      <c r="UV10" s="225"/>
      <c r="UW10" s="225"/>
      <c r="UX10" s="225"/>
      <c r="UY10" s="225"/>
      <c r="UZ10" s="225"/>
      <c r="VA10" s="225"/>
      <c r="VB10" s="225"/>
      <c r="VC10" s="225"/>
      <c r="VD10" s="225"/>
      <c r="VE10" s="225"/>
      <c r="VF10" s="225"/>
      <c r="VG10" s="225"/>
      <c r="VH10" s="225"/>
      <c r="VI10" s="225"/>
      <c r="VJ10" s="225"/>
      <c r="VK10" s="225"/>
      <c r="VL10" s="225"/>
      <c r="VM10" s="225"/>
      <c r="VN10" s="225"/>
      <c r="VO10" s="225"/>
      <c r="VP10" s="225"/>
      <c r="VQ10" s="225"/>
      <c r="VR10" s="225"/>
      <c r="VS10" s="225"/>
      <c r="VT10" s="225"/>
      <c r="VU10" s="225"/>
      <c r="VV10" s="225"/>
      <c r="VW10" s="225"/>
      <c r="VX10" s="225"/>
      <c r="VY10" s="225"/>
      <c r="VZ10" s="225"/>
      <c r="WA10" s="225"/>
      <c r="WB10" s="225"/>
      <c r="WC10" s="225"/>
      <c r="WD10" s="225"/>
      <c r="WE10" s="225"/>
      <c r="WF10" s="225"/>
      <c r="WG10" s="225"/>
      <c r="WH10" s="225"/>
      <c r="WI10" s="225"/>
      <c r="WJ10" s="225"/>
      <c r="WK10" s="225"/>
      <c r="WL10" s="225"/>
      <c r="WM10" s="225"/>
      <c r="WN10" s="225"/>
      <c r="WO10" s="225"/>
      <c r="WP10" s="225"/>
      <c r="WQ10" s="225"/>
      <c r="WR10" s="225"/>
      <c r="WS10" s="225"/>
      <c r="WT10" s="225"/>
      <c r="WU10" s="225"/>
      <c r="WV10" s="225"/>
      <c r="WW10" s="225"/>
      <c r="WX10" s="225"/>
      <c r="WY10" s="225"/>
      <c r="WZ10" s="225"/>
      <c r="XA10" s="225"/>
      <c r="XB10" s="225"/>
      <c r="XC10" s="225"/>
      <c r="XD10" s="225"/>
      <c r="XE10" s="225"/>
      <c r="XF10" s="225"/>
      <c r="XG10" s="225"/>
      <c r="XH10" s="225"/>
      <c r="XI10" s="225"/>
      <c r="XJ10" s="225"/>
      <c r="XK10" s="225"/>
      <c r="XL10" s="225"/>
      <c r="XM10" s="225"/>
      <c r="XN10" s="225"/>
      <c r="XO10" s="225"/>
      <c r="XP10" s="225"/>
      <c r="XQ10" s="225"/>
      <c r="XR10" s="225"/>
      <c r="XS10" s="225"/>
      <c r="XT10" s="225"/>
      <c r="XU10" s="225"/>
      <c r="XV10" s="225"/>
      <c r="XW10" s="225"/>
      <c r="XX10" s="225"/>
      <c r="XY10" s="225"/>
      <c r="XZ10" s="225"/>
      <c r="YA10" s="225"/>
      <c r="YB10" s="225"/>
      <c r="YC10" s="225"/>
      <c r="YD10" s="225"/>
      <c r="YE10" s="225"/>
      <c r="YF10" s="225"/>
      <c r="YG10" s="225"/>
      <c r="YH10" s="225"/>
      <c r="YI10" s="225"/>
      <c r="YJ10" s="225"/>
      <c r="YK10" s="225"/>
      <c r="YL10" s="225"/>
      <c r="YM10" s="225"/>
      <c r="YN10" s="225"/>
      <c r="YO10" s="225"/>
      <c r="YP10" s="225"/>
      <c r="YQ10" s="225"/>
      <c r="YR10" s="225"/>
      <c r="YS10" s="225"/>
      <c r="YT10" s="225"/>
      <c r="YU10" s="225"/>
      <c r="YV10" s="225"/>
      <c r="YW10" s="225"/>
      <c r="YX10" s="225"/>
      <c r="YY10" s="225"/>
      <c r="YZ10" s="225"/>
      <c r="ZA10" s="225"/>
      <c r="ZB10" s="225"/>
      <c r="ZC10" s="225"/>
      <c r="ZD10" s="225"/>
      <c r="ZE10" s="225"/>
      <c r="ZF10" s="225"/>
      <c r="ZG10" s="225"/>
      <c r="ZH10" s="225"/>
      <c r="ZI10" s="225"/>
      <c r="ZJ10" s="225"/>
      <c r="ZK10" s="225"/>
      <c r="ZL10" s="225"/>
      <c r="ZM10" s="225"/>
      <c r="ZN10" s="225"/>
      <c r="ZO10" s="225"/>
      <c r="ZP10" s="225"/>
      <c r="ZQ10" s="225"/>
      <c r="ZR10" s="225"/>
      <c r="ZS10" s="225"/>
      <c r="ZT10" s="225"/>
      <c r="ZU10" s="225"/>
      <c r="ZV10" s="225"/>
      <c r="ZW10" s="225"/>
      <c r="ZX10" s="225"/>
      <c r="ZY10" s="225"/>
      <c r="ZZ10" s="225"/>
      <c r="AAA10" s="225"/>
      <c r="AAB10" s="225"/>
      <c r="AAC10" s="225"/>
      <c r="AAD10" s="225"/>
      <c r="AAE10" s="225"/>
      <c r="AAF10" s="225"/>
      <c r="AAG10" s="225"/>
      <c r="AAH10" s="225"/>
      <c r="AAI10" s="225"/>
      <c r="AAJ10" s="225"/>
      <c r="AAK10" s="225"/>
      <c r="AAL10" s="225"/>
      <c r="AAM10" s="225"/>
      <c r="AAN10" s="225"/>
      <c r="AAO10" s="225"/>
      <c r="AAP10" s="225"/>
      <c r="AAQ10" s="225"/>
      <c r="AAR10" s="225"/>
      <c r="AAS10" s="225"/>
      <c r="AAT10" s="225"/>
      <c r="AAU10" s="225"/>
      <c r="AAV10" s="225"/>
      <c r="AAW10" s="225"/>
      <c r="AAX10" s="225"/>
      <c r="AAY10" s="225"/>
      <c r="AAZ10" s="225"/>
      <c r="ABA10" s="225"/>
      <c r="ABB10" s="225"/>
      <c r="ABC10" s="225"/>
      <c r="ABD10" s="225"/>
      <c r="ABE10" s="225"/>
      <c r="ABF10" s="225"/>
      <c r="ABG10" s="225"/>
      <c r="ABH10" s="225"/>
      <c r="ABI10" s="225"/>
      <c r="ABJ10" s="225"/>
      <c r="ABK10" s="225"/>
      <c r="ABL10" s="225"/>
      <c r="ABM10" s="225"/>
      <c r="ABN10" s="225"/>
      <c r="ABO10" s="225"/>
      <c r="ABP10" s="225"/>
      <c r="ABQ10" s="225"/>
      <c r="ABR10" s="225"/>
      <c r="ABS10" s="225"/>
      <c r="ABT10" s="225"/>
      <c r="ABU10" s="225"/>
      <c r="ABV10" s="225"/>
      <c r="ABW10" s="225"/>
      <c r="ABX10" s="225"/>
      <c r="ABY10" s="225"/>
      <c r="ABZ10" s="225"/>
      <c r="ACA10" s="225"/>
      <c r="ACB10" s="225"/>
      <c r="ACC10" s="225"/>
      <c r="ACD10" s="225"/>
      <c r="ACE10" s="225"/>
      <c r="ACF10" s="225"/>
      <c r="ACG10" s="225"/>
      <c r="ACH10" s="225"/>
      <c r="ACI10" s="225"/>
      <c r="ACJ10" s="225"/>
      <c r="ACK10" s="225"/>
      <c r="ACL10" s="225"/>
      <c r="ACM10" s="225"/>
      <c r="ACN10" s="225"/>
      <c r="ACO10" s="225"/>
      <c r="ACP10" s="225"/>
      <c r="ACQ10" s="225"/>
      <c r="ACR10" s="225"/>
      <c r="ACS10" s="225"/>
      <c r="ACT10" s="225"/>
      <c r="ACU10" s="225"/>
      <c r="ACV10" s="225"/>
      <c r="ACW10" s="225"/>
      <c r="ACX10" s="225"/>
      <c r="ACY10" s="225"/>
      <c r="ACZ10" s="225"/>
      <c r="ADA10" s="225"/>
      <c r="ADB10" s="225"/>
      <c r="ADC10" s="225"/>
      <c r="ADD10" s="225"/>
      <c r="ADE10" s="225"/>
      <c r="ADF10" s="225"/>
      <c r="ADG10" s="225"/>
      <c r="ADH10" s="225"/>
      <c r="ADI10" s="225"/>
      <c r="ADJ10" s="225"/>
      <c r="ADK10" s="225"/>
      <c r="ADL10" s="225"/>
      <c r="ADM10" s="225"/>
      <c r="ADN10" s="225"/>
      <c r="ADO10" s="225"/>
      <c r="ADP10" s="225"/>
      <c r="ADQ10" s="225"/>
      <c r="ADR10" s="225"/>
      <c r="ADS10" s="225"/>
      <c r="ADT10" s="225"/>
      <c r="ADU10" s="225"/>
      <c r="ADV10" s="225"/>
      <c r="ADW10" s="225"/>
      <c r="ADX10" s="225"/>
      <c r="ADY10" s="225"/>
      <c r="ADZ10" s="225"/>
      <c r="AEA10" s="225"/>
      <c r="AEB10" s="225"/>
      <c r="AEC10" s="225"/>
      <c r="AED10" s="225"/>
      <c r="AEE10" s="225"/>
      <c r="AEF10" s="225"/>
      <c r="AEG10" s="225"/>
      <c r="AEH10" s="225"/>
      <c r="AEI10" s="225"/>
      <c r="AEJ10" s="225"/>
      <c r="AEK10" s="225"/>
      <c r="AEL10" s="225"/>
      <c r="AEM10" s="225"/>
      <c r="AEN10" s="225"/>
      <c r="AEO10" s="225"/>
      <c r="AEP10" s="225"/>
      <c r="AEQ10" s="225"/>
      <c r="AER10" s="225"/>
      <c r="AES10" s="225"/>
      <c r="AET10" s="225"/>
      <c r="AEU10" s="225"/>
      <c r="AEV10" s="225"/>
      <c r="AEW10" s="225"/>
      <c r="AEX10" s="225"/>
      <c r="AEY10" s="225"/>
      <c r="AEZ10" s="225"/>
      <c r="AFA10" s="225"/>
      <c r="AFB10" s="225"/>
      <c r="AFC10" s="225"/>
      <c r="AFD10" s="225"/>
      <c r="AFE10" s="225"/>
      <c r="AFF10" s="225"/>
      <c r="AFG10" s="225"/>
      <c r="AFH10" s="225"/>
      <c r="AFI10" s="225"/>
      <c r="AFJ10" s="225"/>
      <c r="AFK10" s="225"/>
      <c r="AFL10" s="225"/>
      <c r="AFM10" s="225"/>
      <c r="AFN10" s="225"/>
      <c r="AFO10" s="225"/>
      <c r="AFP10" s="225"/>
      <c r="AFQ10" s="225"/>
      <c r="AFR10" s="225"/>
      <c r="AFS10" s="225"/>
      <c r="AFT10" s="225"/>
      <c r="AFU10" s="225"/>
      <c r="AFV10" s="225"/>
      <c r="AFW10" s="225"/>
      <c r="AFX10" s="225"/>
      <c r="AFY10" s="225"/>
      <c r="AFZ10" s="225"/>
      <c r="AGA10" s="225"/>
      <c r="AGB10" s="225"/>
      <c r="AGC10" s="225"/>
      <c r="AGD10" s="225"/>
      <c r="AGE10" s="225"/>
      <c r="AGF10" s="225"/>
      <c r="AGG10" s="225"/>
      <c r="AGH10" s="225"/>
      <c r="AGI10" s="225"/>
      <c r="AGJ10" s="225"/>
      <c r="AGK10" s="225"/>
      <c r="AGL10" s="225"/>
      <c r="AGM10" s="225"/>
      <c r="AGN10" s="225"/>
      <c r="AGO10" s="225"/>
      <c r="AGP10" s="225"/>
      <c r="AGQ10" s="225"/>
      <c r="AGR10" s="225"/>
      <c r="AGS10" s="225"/>
      <c r="AGT10" s="225"/>
      <c r="AGU10" s="225"/>
      <c r="AGV10" s="225"/>
      <c r="AGW10" s="225"/>
      <c r="AGX10" s="225"/>
      <c r="AGY10" s="225"/>
      <c r="AGZ10" s="225"/>
      <c r="AHA10" s="225"/>
      <c r="AHB10" s="225"/>
      <c r="AHC10" s="225"/>
      <c r="AHD10" s="225"/>
      <c r="AHE10" s="225"/>
      <c r="AHF10" s="225"/>
      <c r="AHG10" s="225"/>
      <c r="AHH10" s="225"/>
      <c r="AHI10" s="225"/>
      <c r="AHJ10" s="225"/>
      <c r="AHK10" s="225"/>
      <c r="AHL10" s="225"/>
      <c r="AHM10" s="225"/>
      <c r="AHN10" s="225"/>
      <c r="AHO10" s="225"/>
      <c r="AHP10" s="225"/>
      <c r="AHQ10" s="225"/>
      <c r="AHR10" s="225"/>
      <c r="AHS10" s="225"/>
      <c r="AHT10" s="225"/>
      <c r="AHU10" s="225"/>
      <c r="AHV10" s="225"/>
      <c r="AHW10" s="225"/>
      <c r="AHX10" s="225"/>
      <c r="AHY10" s="225"/>
      <c r="AHZ10" s="225"/>
      <c r="AIA10" s="225"/>
      <c r="AIB10" s="225"/>
      <c r="AIC10" s="225"/>
      <c r="AID10" s="225"/>
      <c r="AIE10" s="225"/>
      <c r="AIF10" s="225"/>
      <c r="AIG10" s="225"/>
      <c r="AIH10" s="225"/>
      <c r="AII10" s="225"/>
      <c r="AIJ10" s="225"/>
      <c r="AIK10" s="225"/>
      <c r="AIL10" s="225"/>
      <c r="AIM10" s="225"/>
      <c r="AIN10" s="225"/>
      <c r="AIO10" s="225"/>
      <c r="AIP10" s="225"/>
      <c r="AIQ10" s="225"/>
      <c r="AIR10" s="225"/>
      <c r="AIS10" s="225"/>
      <c r="AIT10" s="225"/>
      <c r="AIU10" s="225"/>
      <c r="AIV10" s="225"/>
      <c r="AIW10" s="225"/>
      <c r="AIX10" s="225"/>
      <c r="AIY10" s="225"/>
      <c r="AIZ10" s="225"/>
      <c r="AJA10" s="225"/>
      <c r="AJB10" s="225"/>
      <c r="AJC10" s="225"/>
      <c r="AJD10" s="225"/>
      <c r="AJE10" s="225"/>
      <c r="AJF10" s="225"/>
      <c r="AJG10" s="225"/>
      <c r="AJH10" s="225"/>
      <c r="AJI10" s="225"/>
      <c r="AJJ10" s="225"/>
      <c r="AJK10" s="225"/>
      <c r="AJL10" s="225"/>
      <c r="AJM10" s="225"/>
      <c r="AJN10" s="225"/>
      <c r="AJO10" s="225"/>
      <c r="AJP10" s="225"/>
      <c r="AJQ10" s="225"/>
      <c r="AJR10" s="225"/>
      <c r="AJS10" s="225"/>
      <c r="AJT10" s="225"/>
      <c r="AJU10" s="225"/>
      <c r="AJV10" s="225"/>
      <c r="AJW10" s="225"/>
      <c r="AJX10" s="225"/>
      <c r="AJY10" s="225"/>
      <c r="AJZ10" s="225"/>
      <c r="AKA10" s="225"/>
      <c r="AKB10" s="225"/>
      <c r="AKC10" s="225"/>
      <c r="AKD10" s="225"/>
      <c r="AKE10" s="225"/>
      <c r="AKF10" s="225"/>
      <c r="AKG10" s="225"/>
      <c r="AKH10" s="225"/>
      <c r="AKI10" s="225"/>
      <c r="AKJ10" s="225"/>
      <c r="AKK10" s="225"/>
      <c r="AKL10" s="225"/>
      <c r="AKM10" s="225"/>
      <c r="AKN10" s="225"/>
      <c r="AKO10" s="225"/>
      <c r="AKP10" s="225"/>
      <c r="AKQ10" s="225"/>
      <c r="AKR10" s="225"/>
      <c r="AKS10" s="225"/>
      <c r="AKT10" s="225"/>
      <c r="AKU10" s="225"/>
      <c r="AKV10" s="225"/>
      <c r="AKW10" s="225"/>
      <c r="AKX10" s="225"/>
      <c r="AKY10" s="225"/>
      <c r="AKZ10" s="225"/>
      <c r="ALA10" s="225"/>
      <c r="ALB10" s="225"/>
      <c r="ALC10" s="225"/>
      <c r="ALD10" s="225"/>
      <c r="ALE10" s="225"/>
      <c r="ALF10" s="225"/>
      <c r="ALG10" s="225"/>
      <c r="ALH10" s="225"/>
      <c r="ALI10" s="225"/>
      <c r="ALJ10" s="225"/>
      <c r="ALK10" s="225"/>
      <c r="ALL10" s="225"/>
      <c r="ALM10" s="225"/>
      <c r="ALN10" s="225"/>
      <c r="ALO10" s="225"/>
      <c r="ALP10" s="225"/>
      <c r="ALQ10" s="225"/>
      <c r="ALR10" s="225"/>
      <c r="ALS10" s="225"/>
      <c r="ALT10" s="225"/>
      <c r="ALU10" s="225"/>
      <c r="ALV10" s="225"/>
      <c r="ALW10" s="225"/>
      <c r="ALX10" s="225"/>
      <c r="ALY10" s="225"/>
      <c r="ALZ10" s="225"/>
      <c r="AMA10" s="225"/>
      <c r="AMB10" s="225"/>
      <c r="AMC10" s="225"/>
      <c r="AMD10" s="225"/>
      <c r="AME10" s="225"/>
      <c r="AMF10" s="225"/>
      <c r="AMG10" s="225"/>
      <c r="AMH10" s="225"/>
      <c r="AMI10" s="225"/>
      <c r="AMJ10" s="225"/>
      <c r="AMK10" s="225"/>
      <c r="AML10" s="225"/>
      <c r="AMM10" s="225"/>
      <c r="AMN10" s="225"/>
      <c r="AMO10" s="225"/>
      <c r="AMP10" s="225"/>
      <c r="AMQ10" s="225"/>
      <c r="AMR10" s="225"/>
      <c r="AMS10" s="225"/>
      <c r="AMT10" s="225"/>
      <c r="AMU10" s="225"/>
      <c r="AMV10" s="225"/>
      <c r="AMW10" s="225"/>
      <c r="AMX10" s="225"/>
      <c r="AMY10" s="225"/>
      <c r="AMZ10" s="225"/>
      <c r="ANA10" s="225"/>
      <c r="ANB10" s="225"/>
      <c r="ANC10" s="225"/>
      <c r="AND10" s="225"/>
      <c r="ANE10" s="225"/>
      <c r="ANF10" s="225"/>
      <c r="ANG10" s="225"/>
      <c r="ANH10" s="225"/>
      <c r="ANI10" s="225"/>
      <c r="ANJ10" s="225"/>
      <c r="ANK10" s="225"/>
      <c r="ANL10" s="225"/>
      <c r="ANM10" s="225"/>
      <c r="ANN10" s="225"/>
      <c r="ANO10" s="225"/>
      <c r="ANP10" s="225"/>
      <c r="ANQ10" s="225"/>
      <c r="ANR10" s="225"/>
      <c r="ANS10" s="225"/>
      <c r="ANT10" s="225"/>
      <c r="ANU10" s="225"/>
      <c r="ANV10" s="225"/>
      <c r="ANW10" s="225"/>
      <c r="ANX10" s="225"/>
      <c r="ANY10" s="225"/>
      <c r="ANZ10" s="225"/>
      <c r="AOA10" s="225"/>
      <c r="AOB10" s="225"/>
      <c r="AOC10" s="225"/>
      <c r="AOD10" s="225"/>
      <c r="AOE10" s="225"/>
      <c r="AOF10" s="225"/>
      <c r="AOG10" s="225"/>
      <c r="AOH10" s="225"/>
      <c r="AOI10" s="225"/>
      <c r="AOJ10" s="225"/>
      <c r="AOK10" s="225"/>
      <c r="AOL10" s="225"/>
      <c r="AOM10" s="225"/>
      <c r="AON10" s="225"/>
      <c r="AOO10" s="225"/>
      <c r="AOP10" s="225"/>
      <c r="AOQ10" s="225"/>
      <c r="AOR10" s="225"/>
      <c r="AOS10" s="225"/>
      <c r="AOT10" s="225"/>
      <c r="AOU10" s="225"/>
      <c r="AOV10" s="225"/>
      <c r="AOW10" s="225"/>
      <c r="AOX10" s="225"/>
      <c r="AOY10" s="225"/>
      <c r="AOZ10" s="225"/>
      <c r="APA10" s="225"/>
      <c r="APB10" s="225"/>
      <c r="APC10" s="225"/>
      <c r="APD10" s="225"/>
      <c r="APE10" s="225"/>
      <c r="APF10" s="225"/>
      <c r="APG10" s="225"/>
      <c r="APH10" s="225"/>
      <c r="API10" s="225"/>
      <c r="APJ10" s="225"/>
      <c r="APK10" s="225"/>
      <c r="APL10" s="225"/>
      <c r="APM10" s="225"/>
      <c r="APN10" s="225"/>
      <c r="APO10" s="225"/>
      <c r="APP10" s="225"/>
      <c r="APQ10" s="225"/>
      <c r="APR10" s="225"/>
      <c r="APS10" s="225"/>
      <c r="APT10" s="225"/>
      <c r="APU10" s="225"/>
      <c r="APV10" s="225"/>
      <c r="APW10" s="225"/>
      <c r="APX10" s="225"/>
      <c r="APY10" s="225"/>
      <c r="APZ10" s="225"/>
      <c r="AQA10" s="225"/>
      <c r="AQB10" s="225"/>
      <c r="AQC10" s="225"/>
      <c r="AQD10" s="225"/>
      <c r="AQE10" s="225"/>
      <c r="AQF10" s="225"/>
      <c r="AQG10" s="225"/>
      <c r="AQH10" s="225"/>
      <c r="AQI10" s="225"/>
      <c r="AQJ10" s="225"/>
      <c r="AQK10" s="225"/>
      <c r="AQL10" s="225"/>
      <c r="AQM10" s="225"/>
      <c r="AQN10" s="225"/>
      <c r="AQO10" s="225"/>
      <c r="AQP10" s="225"/>
      <c r="AQQ10" s="225"/>
      <c r="AQR10" s="225"/>
      <c r="AQS10" s="225"/>
      <c r="AQT10" s="225"/>
      <c r="AQU10" s="225"/>
      <c r="AQV10" s="225"/>
      <c r="AQW10" s="225"/>
      <c r="AQX10" s="225"/>
      <c r="AQY10" s="225"/>
      <c r="AQZ10" s="225"/>
      <c r="ARA10" s="225"/>
      <c r="ARB10" s="225"/>
      <c r="ARC10" s="225"/>
      <c r="ARD10" s="225"/>
      <c r="ARE10" s="225"/>
      <c r="ARF10" s="225"/>
      <c r="ARG10" s="225"/>
      <c r="ARH10" s="225"/>
      <c r="ARI10" s="225"/>
      <c r="ARJ10" s="225"/>
      <c r="ARK10" s="225"/>
      <c r="ARL10" s="225"/>
      <c r="ARM10" s="225"/>
      <c r="ARN10" s="225"/>
      <c r="ARO10" s="225"/>
      <c r="ARP10" s="225"/>
      <c r="ARQ10" s="225"/>
      <c r="ARR10" s="225"/>
      <c r="ARS10" s="225"/>
      <c r="ART10" s="225"/>
      <c r="ARU10" s="225"/>
      <c r="ARV10" s="225"/>
      <c r="ARW10" s="225"/>
      <c r="ARX10" s="225"/>
      <c r="ARY10" s="225"/>
      <c r="ARZ10" s="225"/>
      <c r="ASA10" s="225"/>
      <c r="ASB10" s="225"/>
      <c r="ASC10" s="225"/>
      <c r="ASD10" s="225"/>
      <c r="ASE10" s="225"/>
      <c r="ASF10" s="225"/>
      <c r="ASG10" s="225"/>
      <c r="ASH10" s="225"/>
      <c r="ASI10" s="225"/>
      <c r="ASJ10" s="225"/>
      <c r="ASK10" s="225"/>
      <c r="ASL10" s="225"/>
      <c r="ASM10" s="225"/>
      <c r="ASN10" s="225"/>
      <c r="ASO10" s="225"/>
      <c r="ASP10" s="225"/>
      <c r="ASQ10" s="225"/>
      <c r="ASR10" s="225"/>
      <c r="ASS10" s="225"/>
      <c r="AST10" s="225"/>
      <c r="ASU10" s="225"/>
      <c r="ASV10" s="225"/>
      <c r="ASW10" s="225"/>
      <c r="ASX10" s="225"/>
      <c r="ASY10" s="225"/>
      <c r="ASZ10" s="225"/>
      <c r="ATA10" s="225"/>
      <c r="ATB10" s="225"/>
      <c r="ATC10" s="225"/>
      <c r="ATD10" s="225"/>
      <c r="ATE10" s="225"/>
      <c r="ATF10" s="225"/>
      <c r="ATG10" s="225"/>
      <c r="ATH10" s="225"/>
      <c r="ATI10" s="225"/>
      <c r="ATJ10" s="225"/>
      <c r="ATK10" s="225"/>
      <c r="ATL10" s="225"/>
      <c r="ATM10" s="225"/>
      <c r="ATN10" s="225"/>
      <c r="ATO10" s="225"/>
      <c r="ATP10" s="225"/>
      <c r="ATQ10" s="225"/>
      <c r="ATR10" s="225"/>
      <c r="ATS10" s="225"/>
      <c r="ATT10" s="225"/>
      <c r="ATU10" s="225"/>
      <c r="ATV10" s="225"/>
      <c r="ATW10" s="225"/>
      <c r="ATX10" s="225"/>
      <c r="ATY10" s="225"/>
      <c r="ATZ10" s="225"/>
      <c r="AUA10" s="225"/>
      <c r="AUB10" s="225"/>
      <c r="AUC10" s="225"/>
      <c r="AUD10" s="225"/>
      <c r="AUE10" s="225"/>
      <c r="AUF10" s="225"/>
      <c r="AUG10" s="225"/>
      <c r="AUH10" s="225"/>
      <c r="AUI10" s="225"/>
      <c r="AUJ10" s="225"/>
      <c r="AUK10" s="225"/>
      <c r="AUL10" s="225"/>
      <c r="AUM10" s="225"/>
      <c r="AUN10" s="225"/>
      <c r="AUO10" s="225"/>
      <c r="AUP10" s="225"/>
      <c r="AUQ10" s="225"/>
      <c r="AUR10" s="225"/>
      <c r="AUS10" s="225"/>
      <c r="AUT10" s="225"/>
      <c r="AUU10" s="225"/>
      <c r="AUV10" s="225"/>
      <c r="AUW10" s="225"/>
      <c r="AUX10" s="225"/>
      <c r="AUY10" s="225"/>
      <c r="AUZ10" s="225"/>
      <c r="AVA10" s="225"/>
      <c r="AVB10" s="225"/>
      <c r="AVC10" s="225"/>
      <c r="AVD10" s="225"/>
      <c r="AVE10" s="225"/>
      <c r="AVF10" s="225"/>
      <c r="AVG10" s="225"/>
      <c r="AVH10" s="225"/>
      <c r="AVI10" s="225"/>
      <c r="AVJ10" s="225"/>
      <c r="AVK10" s="225"/>
      <c r="AVL10" s="225"/>
      <c r="AVM10" s="225"/>
      <c r="AVN10" s="225"/>
      <c r="AVO10" s="225"/>
      <c r="AVP10" s="225"/>
      <c r="AVQ10" s="225"/>
      <c r="AVR10" s="225"/>
      <c r="AVS10" s="225"/>
      <c r="AVT10" s="225"/>
      <c r="AVU10" s="225"/>
      <c r="AVV10" s="225"/>
      <c r="AVW10" s="225"/>
      <c r="AVX10" s="225"/>
      <c r="AVY10" s="225"/>
      <c r="AVZ10" s="225"/>
      <c r="AWA10" s="225"/>
      <c r="AWB10" s="225"/>
      <c r="AWC10" s="225"/>
      <c r="AWD10" s="225"/>
      <c r="AWE10" s="225"/>
      <c r="AWF10" s="225"/>
      <c r="AWG10" s="225"/>
      <c r="AWH10" s="225"/>
      <c r="AWI10" s="225"/>
      <c r="AWJ10" s="225"/>
      <c r="AWK10" s="225"/>
      <c r="AWL10" s="225"/>
      <c r="AWM10" s="225"/>
      <c r="AWN10" s="225"/>
      <c r="AWO10" s="225"/>
      <c r="AWP10" s="225"/>
      <c r="AWQ10" s="225"/>
      <c r="AWR10" s="225"/>
      <c r="AWS10" s="225"/>
      <c r="AWT10" s="225"/>
      <c r="AWU10" s="225"/>
      <c r="AWV10" s="225"/>
      <c r="AWW10" s="225"/>
      <c r="AWX10" s="225"/>
      <c r="AWY10" s="225"/>
      <c r="AWZ10" s="225"/>
      <c r="AXA10" s="225"/>
      <c r="AXB10" s="225"/>
      <c r="AXC10" s="225"/>
      <c r="AXD10" s="225"/>
      <c r="AXE10" s="225"/>
      <c r="AXF10" s="225"/>
      <c r="AXG10" s="225"/>
      <c r="AXH10" s="225"/>
      <c r="AXI10" s="225"/>
      <c r="AXJ10" s="225"/>
      <c r="AXK10" s="225"/>
      <c r="AXL10" s="225"/>
      <c r="AXM10" s="225"/>
      <c r="AXN10" s="225"/>
      <c r="AXO10" s="225"/>
      <c r="AXP10" s="225"/>
      <c r="AXQ10" s="225"/>
      <c r="AXR10" s="225"/>
      <c r="AXS10" s="225"/>
      <c r="AXT10" s="225"/>
      <c r="AXU10" s="225"/>
      <c r="AXV10" s="225"/>
      <c r="AXW10" s="225"/>
      <c r="AXX10" s="225"/>
      <c r="AXY10" s="225"/>
      <c r="AXZ10" s="225"/>
      <c r="AYA10" s="225"/>
      <c r="AYB10" s="225"/>
      <c r="AYC10" s="225"/>
      <c r="AYD10" s="225"/>
      <c r="AYE10" s="225"/>
      <c r="AYF10" s="225"/>
      <c r="AYG10" s="225"/>
      <c r="AYH10" s="225"/>
      <c r="AYI10" s="225"/>
      <c r="AYJ10" s="225"/>
      <c r="AYK10" s="225"/>
      <c r="AYL10" s="225"/>
      <c r="AYM10" s="225"/>
      <c r="AYN10" s="225"/>
      <c r="AYO10" s="225"/>
      <c r="AYP10" s="225"/>
      <c r="AYQ10" s="225"/>
      <c r="AYR10" s="225"/>
      <c r="AYS10" s="225"/>
      <c r="AYT10" s="225"/>
      <c r="AYU10" s="225"/>
      <c r="AYV10" s="225"/>
      <c r="AYW10" s="225"/>
      <c r="AYX10" s="225"/>
      <c r="AYY10" s="225"/>
      <c r="AYZ10" s="225"/>
      <c r="AZA10" s="225"/>
      <c r="AZB10" s="225"/>
      <c r="AZC10" s="225"/>
      <c r="AZD10" s="225"/>
      <c r="AZE10" s="225"/>
      <c r="AZF10" s="225"/>
      <c r="AZG10" s="225"/>
      <c r="AZH10" s="225"/>
      <c r="AZI10" s="225"/>
      <c r="AZJ10" s="225"/>
      <c r="AZK10" s="225"/>
      <c r="AZL10" s="225"/>
      <c r="AZM10" s="225"/>
      <c r="AZN10" s="225"/>
      <c r="AZO10" s="225"/>
      <c r="AZP10" s="225"/>
      <c r="AZQ10" s="225"/>
      <c r="AZR10" s="225"/>
      <c r="AZS10" s="225"/>
      <c r="AZT10" s="225"/>
      <c r="AZU10" s="225"/>
      <c r="AZV10" s="225"/>
      <c r="AZW10" s="225"/>
      <c r="AZX10" s="225"/>
      <c r="AZY10" s="225"/>
      <c r="AZZ10" s="225"/>
      <c r="BAA10" s="225"/>
      <c r="BAB10" s="225"/>
      <c r="BAC10" s="225"/>
      <c r="BAD10" s="225"/>
      <c r="BAE10" s="225"/>
      <c r="BAF10" s="225"/>
      <c r="BAG10" s="225"/>
      <c r="BAH10" s="225"/>
      <c r="BAI10" s="225"/>
      <c r="BAJ10" s="225"/>
      <c r="BAK10" s="225"/>
      <c r="BAL10" s="225"/>
      <c r="BAM10" s="225"/>
      <c r="BAN10" s="225"/>
      <c r="BAO10" s="225"/>
      <c r="BAP10" s="225"/>
      <c r="BAQ10" s="225"/>
      <c r="BAR10" s="225"/>
      <c r="BAS10" s="225"/>
      <c r="BAT10" s="225"/>
      <c r="BAU10" s="225"/>
      <c r="BAV10" s="225"/>
      <c r="BAW10" s="225"/>
      <c r="BAX10" s="225"/>
      <c r="BAY10" s="225"/>
      <c r="BAZ10" s="225"/>
      <c r="BBA10" s="225"/>
      <c r="BBB10" s="225"/>
      <c r="BBC10" s="225"/>
      <c r="BBD10" s="225"/>
      <c r="BBE10" s="225"/>
      <c r="BBF10" s="225"/>
      <c r="BBG10" s="225"/>
      <c r="BBH10" s="225"/>
      <c r="BBI10" s="225"/>
      <c r="BBJ10" s="225"/>
      <c r="BBK10" s="225"/>
      <c r="BBL10" s="225"/>
      <c r="BBM10" s="225"/>
      <c r="BBN10" s="225"/>
      <c r="BBO10" s="225"/>
      <c r="BBP10" s="225"/>
      <c r="BBQ10" s="225"/>
      <c r="BBR10" s="225"/>
      <c r="BBS10" s="225"/>
      <c r="BBT10" s="225"/>
      <c r="BBU10" s="225"/>
      <c r="BBV10" s="225"/>
      <c r="BBW10" s="225"/>
      <c r="BBX10" s="225"/>
      <c r="BBY10" s="225"/>
      <c r="BBZ10" s="225"/>
      <c r="BCA10" s="225"/>
      <c r="BCB10" s="225"/>
      <c r="BCC10" s="225"/>
      <c r="BCD10" s="225"/>
      <c r="BCE10" s="225"/>
      <c r="BCF10" s="225"/>
      <c r="BCG10" s="225"/>
      <c r="BCH10" s="225"/>
      <c r="BCI10" s="225"/>
      <c r="BCJ10" s="225"/>
      <c r="BCK10" s="225"/>
      <c r="BCL10" s="225"/>
      <c r="BCM10" s="225"/>
      <c r="BCN10" s="225"/>
      <c r="BCO10" s="225"/>
      <c r="BCP10" s="225"/>
      <c r="BCQ10" s="225"/>
      <c r="BCR10" s="225"/>
      <c r="BCS10" s="225"/>
      <c r="BCT10" s="225"/>
      <c r="BCU10" s="225"/>
      <c r="BCV10" s="225"/>
      <c r="BCW10" s="225"/>
      <c r="BCX10" s="225"/>
      <c r="BCY10" s="225"/>
      <c r="BCZ10" s="225"/>
      <c r="BDA10" s="225"/>
      <c r="BDB10" s="225"/>
      <c r="BDC10" s="225"/>
      <c r="BDD10" s="225"/>
      <c r="BDE10" s="225"/>
      <c r="BDF10" s="225"/>
      <c r="BDG10" s="225"/>
      <c r="BDH10" s="225"/>
      <c r="BDI10" s="225"/>
      <c r="BDJ10" s="225"/>
      <c r="BDK10" s="225"/>
      <c r="BDL10" s="225"/>
      <c r="BDM10" s="225"/>
      <c r="BDN10" s="225"/>
      <c r="BDO10" s="225"/>
      <c r="BDP10" s="225"/>
      <c r="BDQ10" s="225"/>
      <c r="BDR10" s="225"/>
      <c r="BDS10" s="225"/>
      <c r="BDT10" s="225"/>
      <c r="BDU10" s="225"/>
      <c r="BDV10" s="225"/>
      <c r="BDW10" s="225"/>
      <c r="BDX10" s="225"/>
      <c r="BDY10" s="225"/>
      <c r="BDZ10" s="225"/>
      <c r="BEA10" s="225"/>
      <c r="BEB10" s="225"/>
      <c r="BEC10" s="225"/>
      <c r="BED10" s="225"/>
      <c r="BEE10" s="225"/>
      <c r="BEF10" s="225"/>
      <c r="BEG10" s="225"/>
      <c r="BEH10" s="225"/>
      <c r="BEI10" s="225"/>
      <c r="BEJ10" s="225"/>
      <c r="BEK10" s="225"/>
      <c r="BEL10" s="225"/>
      <c r="BEM10" s="225"/>
      <c r="BEN10" s="225"/>
      <c r="BEO10" s="225"/>
      <c r="BEP10" s="225"/>
      <c r="BEQ10" s="225"/>
      <c r="BER10" s="225"/>
      <c r="BES10" s="225"/>
      <c r="BET10" s="225"/>
      <c r="BEU10" s="225"/>
      <c r="BEV10" s="225"/>
      <c r="BEW10" s="225"/>
      <c r="BEX10" s="225"/>
      <c r="BEY10" s="225"/>
      <c r="BEZ10" s="225"/>
      <c r="BFA10" s="225"/>
      <c r="BFB10" s="225"/>
      <c r="BFC10" s="225"/>
      <c r="BFD10" s="225"/>
      <c r="BFE10" s="225"/>
      <c r="BFF10" s="225"/>
      <c r="BFG10" s="225"/>
      <c r="BFH10" s="225"/>
      <c r="BFI10" s="225"/>
      <c r="BFJ10" s="225"/>
      <c r="BFK10" s="225"/>
      <c r="BFL10" s="225"/>
      <c r="BFM10" s="225"/>
      <c r="BFN10" s="225"/>
      <c r="BFO10" s="225"/>
      <c r="BFP10" s="225"/>
      <c r="BFQ10" s="225"/>
      <c r="BFR10" s="225"/>
      <c r="BFS10" s="225"/>
      <c r="BFT10" s="225"/>
      <c r="BFU10" s="225"/>
      <c r="BFV10" s="225"/>
      <c r="BFW10" s="225"/>
      <c r="BFX10" s="225"/>
      <c r="BFY10" s="225"/>
      <c r="BFZ10" s="225"/>
      <c r="BGA10" s="225"/>
      <c r="BGB10" s="225"/>
      <c r="BGC10" s="225"/>
      <c r="BGD10" s="225"/>
      <c r="BGE10" s="225"/>
      <c r="BGF10" s="225"/>
      <c r="BGG10" s="225"/>
      <c r="BGH10" s="225"/>
      <c r="BGI10" s="225"/>
      <c r="BGJ10" s="225"/>
      <c r="BGK10" s="225"/>
      <c r="BGL10" s="225"/>
      <c r="BGM10" s="225"/>
      <c r="BGN10" s="225"/>
      <c r="BGO10" s="225"/>
      <c r="BGP10" s="225"/>
      <c r="BGQ10" s="225"/>
      <c r="BGR10" s="225"/>
      <c r="BGS10" s="225"/>
      <c r="BGT10" s="225"/>
      <c r="BGU10" s="225"/>
      <c r="BGV10" s="225"/>
      <c r="BGW10" s="225"/>
      <c r="BGX10" s="225"/>
      <c r="BGY10" s="225"/>
      <c r="BGZ10" s="225"/>
      <c r="BHA10" s="225"/>
      <c r="BHB10" s="225"/>
      <c r="BHC10" s="225"/>
      <c r="BHD10" s="225"/>
      <c r="BHE10" s="225"/>
      <c r="BHF10" s="73"/>
    </row>
    <row r="11" spans="1:1566" s="71" customFormat="1" ht="20.100000000000001" customHeight="1" x14ac:dyDescent="0.25">
      <c r="A11" s="146"/>
      <c r="B11" s="142"/>
      <c r="C11" s="209"/>
      <c r="D11" s="209"/>
      <c r="E11" s="209"/>
      <c r="F11" s="200" t="s">
        <v>83</v>
      </c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200"/>
      <c r="BJ11" s="200"/>
      <c r="BK11" s="200"/>
      <c r="BL11" s="200"/>
      <c r="BM11" s="200"/>
      <c r="BN11" s="200"/>
      <c r="BO11" s="200"/>
      <c r="BP11" s="200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  <c r="CI11" s="200"/>
      <c r="CJ11" s="200"/>
      <c r="CK11" s="200"/>
      <c r="CL11" s="200"/>
      <c r="CM11" s="200"/>
      <c r="CN11" s="200"/>
      <c r="CO11" s="200"/>
      <c r="CP11" s="200"/>
      <c r="CQ11" s="200"/>
      <c r="CR11" s="200"/>
      <c r="CS11" s="200"/>
      <c r="CT11" s="200"/>
      <c r="CU11" s="200"/>
      <c r="CV11" s="200"/>
      <c r="CW11" s="200"/>
      <c r="CX11" s="200"/>
      <c r="CY11" s="200"/>
      <c r="CZ11" s="200"/>
      <c r="DA11" s="200"/>
      <c r="DB11" s="200"/>
      <c r="DC11" s="200"/>
      <c r="DD11" s="200"/>
      <c r="DE11" s="200"/>
      <c r="DF11" s="200"/>
      <c r="DG11" s="200"/>
      <c r="DH11" s="200"/>
      <c r="DI11" s="200"/>
      <c r="DJ11" s="200"/>
      <c r="DK11" s="200"/>
      <c r="DL11" s="200"/>
      <c r="DM11" s="200"/>
      <c r="DN11" s="200"/>
      <c r="DO11" s="200"/>
      <c r="DP11" s="200"/>
      <c r="DQ11" s="200"/>
      <c r="DR11" s="200"/>
      <c r="DS11" s="200"/>
      <c r="DT11" s="200"/>
      <c r="DU11" s="200"/>
      <c r="DV11" s="200"/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/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/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/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/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/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/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/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/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/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/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/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/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/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/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/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/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/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/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/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/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/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/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/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73"/>
    </row>
    <row r="12" spans="1:1566" ht="49.5" customHeight="1" thickBot="1" x14ac:dyDescent="0.3">
      <c r="B12" s="143"/>
      <c r="C12" s="210"/>
      <c r="D12" s="210"/>
      <c r="E12" s="210"/>
      <c r="F12" s="198" t="s">
        <v>80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  <c r="FQ12" s="205"/>
      <c r="FR12" s="205"/>
      <c r="FS12" s="205"/>
      <c r="FT12" s="205"/>
      <c r="FU12" s="205"/>
      <c r="FV12" s="205"/>
      <c r="FW12" s="205"/>
      <c r="FX12" s="205"/>
      <c r="FY12" s="205"/>
      <c r="FZ12" s="205"/>
      <c r="GA12" s="205"/>
      <c r="GB12" s="205"/>
      <c r="GC12" s="205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216"/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  <c r="LF12" s="216"/>
      <c r="LG12" s="216"/>
      <c r="LH12" s="216"/>
      <c r="LI12" s="216"/>
      <c r="LJ12" s="216"/>
      <c r="LK12" s="216"/>
      <c r="LL12" s="216"/>
      <c r="LM12" s="216"/>
      <c r="LN12" s="216"/>
      <c r="LO12" s="216"/>
      <c r="LP12" s="216"/>
      <c r="LQ12" s="216"/>
      <c r="LR12" s="216"/>
      <c r="LS12" s="216"/>
      <c r="LT12" s="216"/>
      <c r="LU12" s="216"/>
      <c r="LV12" s="216"/>
      <c r="LW12" s="216"/>
      <c r="LX12" s="216"/>
      <c r="LY12" s="216"/>
      <c r="LZ12" s="216"/>
      <c r="MA12" s="216"/>
      <c r="MB12" s="216"/>
      <c r="MC12" s="216"/>
      <c r="MD12" s="216"/>
      <c r="ME12" s="216"/>
      <c r="MF12" s="216"/>
      <c r="MG12" s="216"/>
      <c r="MH12" s="216"/>
      <c r="MI12" s="216"/>
      <c r="MJ12" s="216"/>
      <c r="MK12" s="216"/>
      <c r="ML12" s="216"/>
      <c r="MM12" s="216"/>
      <c r="MN12" s="216"/>
      <c r="MO12" s="216"/>
      <c r="MP12" s="216"/>
      <c r="MQ12" s="216"/>
      <c r="MR12" s="216"/>
      <c r="MS12" s="216"/>
      <c r="MT12" s="216"/>
      <c r="MU12" s="216"/>
      <c r="MV12" s="216"/>
      <c r="MW12" s="216"/>
      <c r="MX12" s="216"/>
      <c r="MY12" s="216"/>
      <c r="MZ12" s="216"/>
      <c r="NA12" s="216"/>
      <c r="NB12" s="216"/>
      <c r="NC12" s="216"/>
      <c r="ND12" s="216"/>
      <c r="NE12" s="216"/>
      <c r="NF12" s="216"/>
      <c r="NG12" s="216"/>
      <c r="NH12" s="216"/>
      <c r="NI12" s="216"/>
      <c r="NJ12" s="216"/>
      <c r="NK12" s="216"/>
      <c r="NL12" s="216"/>
      <c r="NM12" s="216"/>
      <c r="NN12" s="216"/>
      <c r="NO12" s="216"/>
      <c r="NP12" s="216"/>
      <c r="NQ12" s="216"/>
      <c r="NR12" s="216"/>
      <c r="NS12" s="216"/>
      <c r="NT12" s="216"/>
      <c r="NU12" s="216"/>
      <c r="NV12" s="216"/>
      <c r="NW12" s="216"/>
      <c r="NX12" s="216"/>
      <c r="NY12" s="216"/>
      <c r="NZ12" s="216"/>
      <c r="OA12" s="216"/>
      <c r="OB12" s="216"/>
      <c r="OC12" s="216"/>
      <c r="OD12" s="216"/>
      <c r="OE12" s="216"/>
      <c r="OF12" s="216"/>
      <c r="OG12" s="216"/>
      <c r="OH12" s="216"/>
      <c r="OI12" s="216"/>
      <c r="OJ12" s="216"/>
      <c r="OK12" s="216"/>
      <c r="OL12" s="216"/>
      <c r="OM12" s="216"/>
      <c r="ON12" s="216"/>
      <c r="OO12" s="216"/>
      <c r="OP12" s="216"/>
      <c r="OQ12" s="216"/>
      <c r="OR12" s="216"/>
      <c r="OS12" s="216"/>
      <c r="OT12" s="216"/>
      <c r="OU12" s="216"/>
      <c r="OV12" s="216"/>
      <c r="OW12" s="216"/>
      <c r="OX12" s="216"/>
      <c r="OY12" s="216"/>
      <c r="OZ12" s="216"/>
      <c r="PA12" s="216"/>
      <c r="PB12" s="216"/>
      <c r="PC12" s="216"/>
      <c r="PD12" s="216"/>
      <c r="PE12" s="216"/>
      <c r="PF12" s="216"/>
      <c r="PG12" s="216"/>
      <c r="PH12" s="216"/>
      <c r="PI12" s="216"/>
      <c r="PJ12" s="216"/>
      <c r="PK12" s="216"/>
      <c r="PL12" s="216"/>
      <c r="PM12" s="216"/>
      <c r="PN12" s="216"/>
      <c r="PO12" s="216"/>
      <c r="PP12" s="216"/>
      <c r="PQ12" s="216"/>
      <c r="PR12" s="216"/>
      <c r="PS12" s="216"/>
      <c r="PT12" s="216"/>
      <c r="PU12" s="216"/>
      <c r="PV12" s="216"/>
      <c r="PW12" s="216"/>
      <c r="PX12" s="216"/>
      <c r="PY12" s="216"/>
      <c r="PZ12" s="216"/>
      <c r="QA12" s="216"/>
      <c r="QB12" s="216"/>
      <c r="QC12" s="216"/>
      <c r="QD12" s="216"/>
      <c r="QE12" s="216"/>
      <c r="QF12" s="216"/>
      <c r="QG12" s="216"/>
      <c r="QH12" s="216"/>
      <c r="QI12" s="216"/>
      <c r="QJ12" s="216"/>
      <c r="QK12" s="216"/>
      <c r="QL12" s="216"/>
      <c r="QM12" s="216"/>
      <c r="QN12" s="216"/>
      <c r="QO12" s="216"/>
      <c r="QP12" s="216"/>
      <c r="QQ12" s="216"/>
      <c r="QR12" s="216"/>
      <c r="QS12" s="216"/>
      <c r="QT12" s="216"/>
      <c r="QU12" s="216"/>
      <c r="QV12" s="216"/>
      <c r="QW12" s="216"/>
      <c r="QX12" s="216"/>
      <c r="QY12" s="216"/>
      <c r="QZ12" s="216"/>
      <c r="RA12" s="216"/>
      <c r="RB12" s="216"/>
      <c r="RC12" s="216"/>
      <c r="RD12" s="216"/>
      <c r="RE12" s="216"/>
      <c r="RF12" s="216"/>
      <c r="RG12" s="216"/>
      <c r="RH12" s="216"/>
      <c r="RI12" s="216"/>
      <c r="RJ12" s="216"/>
      <c r="RK12" s="216"/>
      <c r="RL12" s="216"/>
      <c r="RM12" s="216"/>
      <c r="RN12" s="216"/>
      <c r="RO12" s="216"/>
      <c r="RP12" s="216"/>
      <c r="RQ12" s="216"/>
      <c r="RR12" s="216"/>
      <c r="RS12" s="216"/>
      <c r="RT12" s="216"/>
      <c r="RU12" s="216"/>
      <c r="RV12" s="216"/>
      <c r="RW12" s="216"/>
      <c r="RX12" s="216"/>
      <c r="RY12" s="216"/>
      <c r="RZ12" s="216"/>
      <c r="SA12" s="216"/>
      <c r="SB12" s="216"/>
      <c r="SC12" s="216"/>
      <c r="SD12" s="216"/>
      <c r="SE12" s="216"/>
      <c r="SF12" s="216"/>
      <c r="SG12" s="216"/>
      <c r="SH12" s="216"/>
      <c r="SI12" s="216"/>
      <c r="SJ12" s="216"/>
      <c r="SK12" s="216"/>
      <c r="SL12" s="216"/>
      <c r="SM12" s="216"/>
      <c r="SN12" s="216"/>
      <c r="SO12" s="216"/>
      <c r="SP12" s="216"/>
      <c r="SQ12" s="216"/>
      <c r="SR12" s="216"/>
      <c r="SS12" s="216"/>
      <c r="ST12" s="216"/>
      <c r="SU12" s="216"/>
      <c r="SV12" s="216"/>
      <c r="SW12" s="216"/>
      <c r="SX12" s="216"/>
      <c r="SY12" s="216"/>
      <c r="SZ12" s="216"/>
      <c r="TA12" s="216"/>
      <c r="TB12" s="216"/>
      <c r="TC12" s="216"/>
      <c r="TD12" s="216"/>
      <c r="TE12" s="216"/>
      <c r="TF12" s="216"/>
      <c r="TG12" s="216"/>
      <c r="TH12" s="216"/>
      <c r="TI12" s="216"/>
      <c r="TJ12" s="216"/>
      <c r="TK12" s="216"/>
      <c r="TL12" s="216"/>
      <c r="TM12" s="216"/>
      <c r="TN12" s="216"/>
      <c r="TO12" s="216"/>
      <c r="TP12" s="216"/>
      <c r="TQ12" s="216"/>
      <c r="TR12" s="216"/>
      <c r="TS12" s="216"/>
      <c r="TT12" s="216"/>
      <c r="TU12" s="216"/>
      <c r="TV12" s="216"/>
      <c r="TW12" s="216"/>
      <c r="TX12" s="216"/>
      <c r="TY12" s="216"/>
      <c r="TZ12" s="216"/>
      <c r="UA12" s="216"/>
      <c r="UB12" s="216"/>
      <c r="UC12" s="216"/>
      <c r="UD12" s="216"/>
      <c r="UE12" s="216"/>
      <c r="UF12" s="216"/>
      <c r="UG12" s="216"/>
      <c r="UH12" s="216"/>
      <c r="UI12" s="216"/>
      <c r="UJ12" s="216"/>
      <c r="UK12" s="216"/>
      <c r="UL12" s="216"/>
      <c r="UM12" s="216"/>
      <c r="UN12" s="216"/>
      <c r="UO12" s="216"/>
      <c r="UP12" s="216"/>
      <c r="UQ12" s="216"/>
      <c r="UR12" s="216"/>
      <c r="US12" s="216"/>
      <c r="UT12" s="216"/>
      <c r="UU12" s="216"/>
      <c r="UV12" s="216"/>
      <c r="UW12" s="216"/>
      <c r="UX12" s="216"/>
      <c r="UY12" s="216"/>
      <c r="UZ12" s="216"/>
      <c r="VA12" s="216"/>
      <c r="VB12" s="216"/>
      <c r="VC12" s="216"/>
      <c r="VD12" s="216"/>
      <c r="VE12" s="216"/>
      <c r="VF12" s="216"/>
      <c r="VG12" s="216"/>
      <c r="VH12" s="216"/>
      <c r="VI12" s="216"/>
      <c r="VJ12" s="216"/>
      <c r="VK12" s="216"/>
      <c r="VL12" s="216"/>
      <c r="VM12" s="216"/>
      <c r="VN12" s="216"/>
      <c r="VO12" s="216"/>
      <c r="VP12" s="216"/>
      <c r="VQ12" s="216"/>
      <c r="VR12" s="216"/>
      <c r="VS12" s="216"/>
      <c r="VT12" s="216"/>
      <c r="VU12" s="216"/>
      <c r="VV12" s="216"/>
      <c r="VW12" s="216"/>
      <c r="VX12" s="216"/>
      <c r="VY12" s="216"/>
      <c r="VZ12" s="216"/>
      <c r="WA12" s="216"/>
      <c r="WB12" s="216"/>
      <c r="WC12" s="216"/>
      <c r="WD12" s="216"/>
      <c r="WE12" s="216"/>
      <c r="WF12" s="216"/>
      <c r="WG12" s="216"/>
      <c r="WH12" s="216"/>
      <c r="WI12" s="216"/>
      <c r="WJ12" s="216"/>
      <c r="WK12" s="216"/>
      <c r="WL12" s="216"/>
      <c r="WM12" s="216"/>
      <c r="WN12" s="216"/>
      <c r="WO12" s="216"/>
      <c r="WP12" s="216"/>
      <c r="WQ12" s="216"/>
      <c r="WR12" s="216"/>
      <c r="WS12" s="216"/>
      <c r="WT12" s="216"/>
      <c r="WU12" s="216"/>
      <c r="WV12" s="216"/>
      <c r="WW12" s="216"/>
      <c r="WX12" s="216"/>
      <c r="WY12" s="216"/>
      <c r="WZ12" s="216"/>
      <c r="XA12" s="216"/>
      <c r="XB12" s="216"/>
      <c r="XC12" s="216"/>
      <c r="XD12" s="216"/>
      <c r="XE12" s="216"/>
      <c r="XF12" s="216"/>
      <c r="XG12" s="216"/>
      <c r="XH12" s="216"/>
      <c r="XI12" s="216"/>
      <c r="XJ12" s="216"/>
      <c r="XK12" s="216"/>
      <c r="XL12" s="216"/>
      <c r="XM12" s="216"/>
      <c r="XN12" s="216"/>
      <c r="XO12" s="216"/>
      <c r="XP12" s="216"/>
      <c r="XQ12" s="216"/>
      <c r="XR12" s="216"/>
      <c r="XS12" s="216"/>
      <c r="XT12" s="216"/>
      <c r="XU12" s="216"/>
      <c r="XV12" s="216"/>
      <c r="XW12" s="216"/>
      <c r="XX12" s="216"/>
      <c r="XY12" s="216"/>
      <c r="XZ12" s="216"/>
      <c r="YA12" s="216"/>
      <c r="YB12" s="216"/>
      <c r="YC12" s="216"/>
      <c r="YD12" s="216"/>
      <c r="YE12" s="216"/>
      <c r="YF12" s="216"/>
      <c r="YG12" s="216"/>
      <c r="YH12" s="216"/>
      <c r="YI12" s="216"/>
      <c r="YJ12" s="216"/>
      <c r="YK12" s="216"/>
      <c r="YL12" s="216"/>
      <c r="YM12" s="216"/>
      <c r="YN12" s="216"/>
      <c r="YO12" s="216"/>
      <c r="YP12" s="216"/>
      <c r="YQ12" s="216"/>
      <c r="YR12" s="216"/>
      <c r="YS12" s="216"/>
      <c r="YT12" s="216"/>
      <c r="YU12" s="216"/>
      <c r="YV12" s="216"/>
      <c r="YW12" s="216"/>
      <c r="YX12" s="216"/>
      <c r="YY12" s="216"/>
      <c r="YZ12" s="216"/>
      <c r="ZA12" s="216"/>
      <c r="ZB12" s="216"/>
      <c r="ZC12" s="216"/>
      <c r="ZD12" s="216"/>
      <c r="ZE12" s="216"/>
      <c r="ZF12" s="216"/>
      <c r="ZG12" s="216"/>
      <c r="ZH12" s="216"/>
      <c r="ZI12" s="216"/>
      <c r="ZJ12" s="216"/>
      <c r="ZK12" s="216"/>
      <c r="ZL12" s="216"/>
      <c r="ZM12" s="216"/>
      <c r="ZN12" s="216"/>
      <c r="ZO12" s="216"/>
      <c r="ZP12" s="216"/>
      <c r="ZQ12" s="216"/>
      <c r="ZR12" s="216"/>
      <c r="ZS12" s="216"/>
      <c r="ZT12" s="216"/>
      <c r="ZU12" s="216"/>
      <c r="ZV12" s="216"/>
      <c r="ZW12" s="216"/>
      <c r="ZX12" s="216"/>
      <c r="ZY12" s="216"/>
      <c r="ZZ12" s="216"/>
      <c r="AAA12" s="216"/>
      <c r="AAB12" s="216"/>
      <c r="AAC12" s="216"/>
      <c r="AAD12" s="216"/>
      <c r="AAE12" s="216"/>
      <c r="AAF12" s="216"/>
      <c r="AAG12" s="216"/>
      <c r="AAH12" s="216"/>
      <c r="AAI12" s="216"/>
      <c r="AAJ12" s="216"/>
      <c r="AAK12" s="216"/>
      <c r="AAL12" s="216"/>
      <c r="AAM12" s="216"/>
      <c r="AAN12" s="216"/>
      <c r="AAO12" s="216"/>
      <c r="AAP12" s="216"/>
      <c r="AAQ12" s="216"/>
      <c r="AAR12" s="216"/>
      <c r="AAS12" s="216"/>
      <c r="AAT12" s="216"/>
      <c r="AAU12" s="216"/>
      <c r="AAV12" s="216"/>
      <c r="AAW12" s="216"/>
      <c r="AAX12" s="216"/>
      <c r="AAY12" s="216"/>
      <c r="AAZ12" s="216"/>
      <c r="ABA12" s="216"/>
      <c r="ABB12" s="216"/>
      <c r="ABC12" s="216"/>
      <c r="ABD12" s="216"/>
      <c r="ABE12" s="216"/>
      <c r="ABF12" s="216"/>
      <c r="ABG12" s="216"/>
      <c r="ABH12" s="216"/>
      <c r="ABI12" s="216"/>
      <c r="ABJ12" s="216"/>
      <c r="ABK12" s="216"/>
      <c r="ABL12" s="216"/>
      <c r="ABM12" s="216"/>
      <c r="ABN12" s="216"/>
      <c r="ABO12" s="216"/>
      <c r="ABP12" s="216"/>
      <c r="ABQ12" s="216"/>
      <c r="ABR12" s="216"/>
      <c r="ABS12" s="216"/>
      <c r="ABT12" s="216"/>
      <c r="ABU12" s="216"/>
      <c r="ABV12" s="216"/>
      <c r="ABW12" s="216"/>
      <c r="ABX12" s="216"/>
      <c r="ABY12" s="216"/>
      <c r="ABZ12" s="216"/>
      <c r="ACA12" s="216"/>
      <c r="ACB12" s="216"/>
      <c r="ACC12" s="216"/>
      <c r="ACD12" s="216"/>
      <c r="ACE12" s="216"/>
      <c r="ACF12" s="216"/>
      <c r="ACG12" s="216"/>
      <c r="ACH12" s="216"/>
      <c r="ACI12" s="216"/>
      <c r="ACJ12" s="216"/>
      <c r="ACK12" s="216"/>
      <c r="ACL12" s="216"/>
      <c r="ACM12" s="216"/>
      <c r="ACN12" s="216"/>
      <c r="ACO12" s="216"/>
      <c r="ACP12" s="216"/>
      <c r="ACQ12" s="216"/>
      <c r="ACR12" s="216"/>
      <c r="ACS12" s="216"/>
      <c r="ACT12" s="216"/>
      <c r="ACU12" s="216"/>
      <c r="ACV12" s="216"/>
      <c r="ACW12" s="216"/>
      <c r="ACX12" s="216"/>
      <c r="ACY12" s="216"/>
      <c r="ACZ12" s="216"/>
      <c r="ADA12" s="216"/>
      <c r="ADB12" s="216"/>
      <c r="ADC12" s="216"/>
      <c r="ADD12" s="216"/>
      <c r="ADE12" s="216"/>
      <c r="ADF12" s="216"/>
      <c r="ADG12" s="216"/>
      <c r="ADH12" s="216"/>
      <c r="ADI12" s="216"/>
      <c r="ADJ12" s="216"/>
      <c r="ADK12" s="216"/>
      <c r="ADL12" s="216"/>
      <c r="ADM12" s="216"/>
      <c r="ADN12" s="216"/>
      <c r="ADO12" s="216"/>
      <c r="ADP12" s="216"/>
      <c r="ADQ12" s="216"/>
      <c r="ADR12" s="216"/>
      <c r="ADS12" s="216"/>
      <c r="ADT12" s="216"/>
      <c r="ADU12" s="216"/>
      <c r="ADV12" s="216"/>
      <c r="ADW12" s="216"/>
      <c r="ADX12" s="216"/>
      <c r="ADY12" s="216"/>
      <c r="ADZ12" s="216"/>
      <c r="AEA12" s="216"/>
      <c r="AEB12" s="216"/>
      <c r="AEC12" s="216"/>
      <c r="AED12" s="216"/>
      <c r="AEE12" s="216"/>
      <c r="AEF12" s="216"/>
      <c r="AEG12" s="216"/>
      <c r="AEH12" s="216"/>
      <c r="AEI12" s="216"/>
      <c r="AEJ12" s="216"/>
      <c r="AEK12" s="216"/>
      <c r="AEL12" s="216"/>
      <c r="AEM12" s="216"/>
      <c r="AEN12" s="216"/>
      <c r="AEO12" s="216"/>
      <c r="AEP12" s="216"/>
      <c r="AEQ12" s="216"/>
      <c r="AER12" s="216"/>
      <c r="AES12" s="216"/>
      <c r="AET12" s="216"/>
      <c r="AEU12" s="216"/>
      <c r="AEV12" s="216"/>
      <c r="AEW12" s="216"/>
      <c r="AEX12" s="216"/>
      <c r="AEY12" s="216"/>
      <c r="AEZ12" s="216"/>
      <c r="AFA12" s="216"/>
      <c r="AFB12" s="216"/>
      <c r="AFC12" s="216"/>
      <c r="AFD12" s="216"/>
      <c r="AFE12" s="216"/>
      <c r="AFF12" s="216"/>
      <c r="AFG12" s="216"/>
      <c r="AFH12" s="216"/>
      <c r="AFI12" s="216"/>
      <c r="AFJ12" s="216"/>
      <c r="AFK12" s="216"/>
      <c r="AFL12" s="216"/>
      <c r="AFM12" s="216"/>
      <c r="AFN12" s="216"/>
      <c r="AFO12" s="216"/>
      <c r="AFP12" s="216"/>
      <c r="AFQ12" s="216"/>
      <c r="AFR12" s="216"/>
      <c r="AFS12" s="216"/>
      <c r="AFT12" s="216"/>
      <c r="AFU12" s="216"/>
      <c r="AFV12" s="216"/>
      <c r="AFW12" s="216"/>
      <c r="AFX12" s="216"/>
      <c r="AFY12" s="216"/>
      <c r="AFZ12" s="216"/>
      <c r="AGA12" s="216"/>
      <c r="AGB12" s="216"/>
      <c r="AGC12" s="216"/>
      <c r="AGD12" s="216"/>
      <c r="AGE12" s="216"/>
      <c r="AGF12" s="216"/>
      <c r="AGG12" s="216"/>
      <c r="AGH12" s="216"/>
      <c r="AGI12" s="216"/>
      <c r="AGJ12" s="216"/>
      <c r="AGK12" s="216"/>
      <c r="AGL12" s="216"/>
      <c r="AGM12" s="216"/>
      <c r="AGN12" s="216"/>
      <c r="AGO12" s="216"/>
      <c r="AGP12" s="216"/>
      <c r="AGQ12" s="216"/>
      <c r="AGR12" s="216"/>
      <c r="AGS12" s="216"/>
      <c r="AGT12" s="216"/>
      <c r="AGU12" s="216"/>
      <c r="AGV12" s="216"/>
      <c r="AGW12" s="216"/>
      <c r="AGX12" s="216"/>
      <c r="AGY12" s="216"/>
      <c r="AGZ12" s="216"/>
      <c r="AHA12" s="216"/>
      <c r="AHB12" s="216"/>
      <c r="AHC12" s="216"/>
      <c r="AHD12" s="216"/>
      <c r="AHE12" s="216"/>
      <c r="AHF12" s="216"/>
      <c r="AHG12" s="216"/>
      <c r="AHH12" s="216"/>
      <c r="AHI12" s="216"/>
      <c r="AHJ12" s="216"/>
      <c r="AHK12" s="216"/>
      <c r="AHL12" s="216"/>
      <c r="AHM12" s="216"/>
      <c r="AHN12" s="216"/>
      <c r="AHO12" s="216"/>
      <c r="AHP12" s="216"/>
      <c r="AHQ12" s="216"/>
      <c r="AHR12" s="216"/>
      <c r="AHS12" s="216"/>
      <c r="AHT12" s="216"/>
      <c r="AHU12" s="216"/>
      <c r="AHV12" s="216"/>
      <c r="AHW12" s="216"/>
      <c r="AHX12" s="216"/>
      <c r="AHY12" s="216"/>
      <c r="AHZ12" s="216"/>
      <c r="AIA12" s="216"/>
      <c r="AIB12" s="216"/>
      <c r="AIC12" s="216"/>
      <c r="AID12" s="216"/>
      <c r="AIE12" s="216"/>
      <c r="AIF12" s="216"/>
      <c r="AIG12" s="216"/>
      <c r="AIH12" s="216"/>
      <c r="AII12" s="216"/>
      <c r="AIJ12" s="216"/>
      <c r="AIK12" s="216"/>
      <c r="AIL12" s="216"/>
      <c r="AIM12" s="216"/>
      <c r="AIN12" s="216"/>
      <c r="AIO12" s="216"/>
      <c r="AIP12" s="216"/>
      <c r="AIQ12" s="216"/>
      <c r="AIR12" s="216"/>
      <c r="AIS12" s="216"/>
      <c r="AIT12" s="216"/>
      <c r="AIU12" s="216"/>
      <c r="AIV12" s="216"/>
      <c r="AIW12" s="216"/>
      <c r="AIX12" s="216"/>
      <c r="AIY12" s="216"/>
      <c r="AIZ12" s="216"/>
      <c r="AJA12" s="216"/>
      <c r="AJB12" s="216"/>
      <c r="AJC12" s="216"/>
      <c r="AJD12" s="216"/>
      <c r="AJE12" s="216"/>
      <c r="AJF12" s="216"/>
      <c r="AJG12" s="216"/>
      <c r="AJH12" s="216"/>
      <c r="AJI12" s="216"/>
      <c r="AJJ12" s="216"/>
      <c r="AJK12" s="216"/>
      <c r="AJL12" s="216"/>
      <c r="AJM12" s="216"/>
      <c r="AJN12" s="216"/>
      <c r="AJO12" s="216"/>
      <c r="AJP12" s="216"/>
      <c r="AJQ12" s="216"/>
      <c r="AJR12" s="216"/>
      <c r="AJS12" s="216"/>
      <c r="AJT12" s="216"/>
      <c r="AJU12" s="216"/>
      <c r="AJV12" s="216"/>
      <c r="AJW12" s="216"/>
      <c r="AJX12" s="216"/>
      <c r="AJY12" s="216"/>
      <c r="AJZ12" s="216"/>
      <c r="AKA12" s="216"/>
      <c r="AKB12" s="216"/>
      <c r="AKC12" s="216"/>
      <c r="AKD12" s="216"/>
      <c r="AKE12" s="216"/>
      <c r="AKF12" s="216"/>
      <c r="AKG12" s="216"/>
      <c r="AKH12" s="216"/>
      <c r="AKI12" s="216"/>
      <c r="AKJ12" s="216"/>
      <c r="AKK12" s="216"/>
      <c r="AKL12" s="216"/>
      <c r="AKM12" s="216"/>
      <c r="AKN12" s="216"/>
      <c r="AKO12" s="216"/>
      <c r="AKP12" s="216"/>
      <c r="AKQ12" s="216"/>
      <c r="AKR12" s="216"/>
      <c r="AKS12" s="216"/>
      <c r="AKT12" s="216"/>
      <c r="AKU12" s="216"/>
      <c r="AKV12" s="216"/>
      <c r="AKW12" s="216"/>
      <c r="AKX12" s="216"/>
      <c r="AKY12" s="216"/>
      <c r="AKZ12" s="216"/>
      <c r="ALA12" s="216"/>
      <c r="ALB12" s="216"/>
      <c r="ALC12" s="216"/>
      <c r="ALD12" s="216"/>
      <c r="ALE12" s="216"/>
      <c r="ALF12" s="216"/>
      <c r="ALG12" s="216"/>
      <c r="ALH12" s="216"/>
      <c r="ALI12" s="216"/>
      <c r="ALJ12" s="216"/>
      <c r="ALK12" s="216"/>
      <c r="ALL12" s="216"/>
      <c r="ALM12" s="216"/>
      <c r="ALN12" s="216"/>
      <c r="ALO12" s="216"/>
      <c r="ALP12" s="216"/>
      <c r="ALQ12" s="216"/>
      <c r="ALR12" s="216"/>
      <c r="ALS12" s="216"/>
      <c r="ALT12" s="216"/>
      <c r="ALU12" s="216"/>
      <c r="ALV12" s="216"/>
      <c r="ALW12" s="216"/>
      <c r="ALX12" s="216"/>
      <c r="ALY12" s="216"/>
      <c r="ALZ12" s="216"/>
      <c r="AMA12" s="216"/>
      <c r="AMB12" s="216"/>
      <c r="AMC12" s="216"/>
      <c r="AMD12" s="216"/>
      <c r="AME12" s="216"/>
      <c r="AMF12" s="216"/>
      <c r="AMG12" s="216"/>
      <c r="AMH12" s="216"/>
      <c r="AMI12" s="216"/>
      <c r="AMJ12" s="216"/>
      <c r="AMK12" s="216"/>
      <c r="AML12" s="216"/>
      <c r="AMM12" s="216"/>
      <c r="AMN12" s="216"/>
      <c r="AMO12" s="216"/>
      <c r="AMP12" s="216"/>
      <c r="AMQ12" s="216"/>
      <c r="AMR12" s="216"/>
      <c r="AMS12" s="216"/>
      <c r="AMT12" s="216"/>
      <c r="AMU12" s="216"/>
      <c r="AMV12" s="216"/>
      <c r="AMW12" s="216"/>
      <c r="AMX12" s="216"/>
      <c r="AMY12" s="216"/>
      <c r="AMZ12" s="216"/>
      <c r="ANA12" s="216"/>
      <c r="ANB12" s="216"/>
      <c r="ANC12" s="216"/>
      <c r="AND12" s="216"/>
      <c r="ANE12" s="216"/>
      <c r="ANF12" s="216"/>
      <c r="ANG12" s="216"/>
      <c r="ANH12" s="216"/>
      <c r="ANI12" s="216"/>
      <c r="ANJ12" s="216"/>
      <c r="ANK12" s="216"/>
      <c r="ANL12" s="216"/>
      <c r="ANM12" s="216"/>
      <c r="ANN12" s="216"/>
      <c r="ANO12" s="216"/>
      <c r="ANP12" s="216"/>
      <c r="ANQ12" s="216"/>
      <c r="ANR12" s="216"/>
      <c r="ANS12" s="216"/>
      <c r="ANT12" s="216"/>
      <c r="ANU12" s="216"/>
      <c r="ANV12" s="216"/>
      <c r="ANW12" s="216"/>
      <c r="ANX12" s="216"/>
      <c r="ANY12" s="216"/>
      <c r="ANZ12" s="216"/>
      <c r="AOA12" s="216"/>
      <c r="AOB12" s="216"/>
      <c r="AOC12" s="216"/>
      <c r="AOD12" s="216"/>
      <c r="AOE12" s="216"/>
      <c r="AOF12" s="216"/>
      <c r="AOG12" s="216"/>
      <c r="AOH12" s="216"/>
      <c r="AOI12" s="216"/>
      <c r="AOJ12" s="216"/>
      <c r="AOK12" s="216"/>
      <c r="AOL12" s="216"/>
      <c r="AOM12" s="216"/>
      <c r="AON12" s="216"/>
      <c r="AOO12" s="216"/>
      <c r="AOP12" s="216"/>
      <c r="AOQ12" s="216"/>
      <c r="AOR12" s="216"/>
      <c r="AOS12" s="216"/>
      <c r="AOT12" s="216"/>
      <c r="AOU12" s="216"/>
      <c r="AOV12" s="216"/>
      <c r="AOW12" s="216"/>
      <c r="AOX12" s="216"/>
      <c r="AOY12" s="216"/>
      <c r="AOZ12" s="216"/>
      <c r="APA12" s="216"/>
      <c r="APB12" s="216"/>
      <c r="APC12" s="216"/>
      <c r="APD12" s="216"/>
      <c r="APE12" s="216"/>
      <c r="APF12" s="216"/>
      <c r="APG12" s="216"/>
      <c r="APH12" s="216"/>
      <c r="API12" s="216"/>
      <c r="APJ12" s="216"/>
      <c r="APK12" s="216"/>
      <c r="APL12" s="216"/>
      <c r="APM12" s="216"/>
      <c r="APN12" s="216"/>
      <c r="APO12" s="216"/>
      <c r="APP12" s="216"/>
      <c r="APQ12" s="216"/>
      <c r="APR12" s="216"/>
      <c r="APS12" s="216"/>
      <c r="APT12" s="216"/>
      <c r="APU12" s="216"/>
      <c r="APV12" s="216"/>
      <c r="APW12" s="216"/>
      <c r="APX12" s="216"/>
      <c r="APY12" s="216"/>
      <c r="APZ12" s="216"/>
      <c r="AQA12" s="216"/>
      <c r="AQB12" s="216"/>
      <c r="AQC12" s="216"/>
      <c r="AQD12" s="216"/>
      <c r="AQE12" s="216"/>
      <c r="AQF12" s="216"/>
      <c r="AQG12" s="216"/>
      <c r="AQH12" s="216"/>
      <c r="AQI12" s="216"/>
      <c r="AQJ12" s="216"/>
      <c r="AQK12" s="216"/>
      <c r="AQL12" s="216"/>
      <c r="AQM12" s="216"/>
      <c r="AQN12" s="216"/>
      <c r="AQO12" s="216"/>
      <c r="AQP12" s="216"/>
      <c r="AQQ12" s="216"/>
      <c r="AQR12" s="216"/>
      <c r="AQS12" s="216"/>
      <c r="AQT12" s="216"/>
      <c r="AQU12" s="216"/>
      <c r="AQV12" s="216"/>
      <c r="AQW12" s="216"/>
      <c r="AQX12" s="216"/>
      <c r="AQY12" s="216"/>
      <c r="AQZ12" s="216"/>
      <c r="ARA12" s="216"/>
      <c r="ARB12" s="216"/>
      <c r="ARC12" s="216"/>
      <c r="ARD12" s="216"/>
      <c r="ARE12" s="216"/>
      <c r="ARF12" s="216"/>
      <c r="ARG12" s="216"/>
      <c r="ARH12" s="216"/>
      <c r="ARI12" s="216"/>
      <c r="ARJ12" s="216"/>
      <c r="ARK12" s="216"/>
      <c r="ARL12" s="216"/>
      <c r="ARM12" s="216"/>
      <c r="ARN12" s="216"/>
      <c r="ARO12" s="216"/>
      <c r="ARP12" s="216"/>
      <c r="ARQ12" s="216"/>
      <c r="ARR12" s="216"/>
      <c r="ARS12" s="216"/>
      <c r="ART12" s="216"/>
      <c r="ARU12" s="216"/>
      <c r="ARV12" s="216"/>
      <c r="ARW12" s="216"/>
      <c r="ARX12" s="216"/>
      <c r="ARY12" s="216"/>
      <c r="ARZ12" s="216"/>
      <c r="ASA12" s="216"/>
      <c r="ASB12" s="216"/>
      <c r="ASC12" s="216"/>
      <c r="ASD12" s="216"/>
      <c r="ASE12" s="216"/>
      <c r="ASF12" s="216"/>
      <c r="ASG12" s="216"/>
      <c r="ASH12" s="216"/>
      <c r="ASI12" s="216"/>
      <c r="ASJ12" s="216"/>
      <c r="ASK12" s="216"/>
      <c r="ASL12" s="216"/>
      <c r="ASM12" s="216"/>
      <c r="ASN12" s="216"/>
      <c r="ASO12" s="216"/>
      <c r="ASP12" s="216"/>
      <c r="ASQ12" s="216"/>
      <c r="ASR12" s="216"/>
      <c r="ASS12" s="216"/>
      <c r="AST12" s="216"/>
      <c r="ASU12" s="216"/>
      <c r="ASV12" s="216"/>
      <c r="ASW12" s="216"/>
      <c r="ASX12" s="216"/>
      <c r="ASY12" s="216"/>
      <c r="ASZ12" s="216"/>
      <c r="ATA12" s="216"/>
      <c r="ATB12" s="216"/>
      <c r="ATC12" s="216"/>
      <c r="ATD12" s="216"/>
      <c r="ATE12" s="216"/>
      <c r="ATF12" s="216"/>
      <c r="ATG12" s="216"/>
      <c r="ATH12" s="216"/>
      <c r="ATI12" s="216"/>
      <c r="ATJ12" s="216"/>
      <c r="ATK12" s="216"/>
      <c r="ATL12" s="216"/>
      <c r="ATM12" s="216"/>
      <c r="ATN12" s="216"/>
      <c r="ATO12" s="216"/>
      <c r="ATP12" s="216"/>
      <c r="ATQ12" s="216"/>
      <c r="ATR12" s="216"/>
      <c r="ATS12" s="216"/>
      <c r="ATT12" s="216"/>
      <c r="ATU12" s="216"/>
      <c r="ATV12" s="216"/>
      <c r="ATW12" s="216"/>
      <c r="ATX12" s="216"/>
      <c r="ATY12" s="216"/>
      <c r="ATZ12" s="216"/>
      <c r="AUA12" s="216"/>
      <c r="AUB12" s="216"/>
      <c r="AUC12" s="216"/>
      <c r="AUD12" s="216"/>
      <c r="AUE12" s="216"/>
      <c r="AUF12" s="216"/>
      <c r="AUG12" s="216"/>
      <c r="AUH12" s="216"/>
      <c r="AUI12" s="216"/>
      <c r="AUJ12" s="216"/>
      <c r="AUK12" s="216"/>
      <c r="AUL12" s="216"/>
      <c r="AUM12" s="216"/>
      <c r="AUN12" s="216"/>
      <c r="AUO12" s="216"/>
      <c r="AUP12" s="216"/>
      <c r="AUQ12" s="216"/>
      <c r="AUR12" s="216"/>
      <c r="AUS12" s="216"/>
      <c r="AUT12" s="216"/>
      <c r="AUU12" s="216"/>
      <c r="AUV12" s="216"/>
      <c r="AUW12" s="216"/>
      <c r="AUX12" s="216"/>
      <c r="AUY12" s="216"/>
      <c r="AUZ12" s="216"/>
      <c r="AVA12" s="216"/>
      <c r="AVB12" s="216"/>
      <c r="AVC12" s="216"/>
      <c r="AVD12" s="216"/>
      <c r="AVE12" s="216"/>
      <c r="AVF12" s="216"/>
      <c r="AVG12" s="216"/>
      <c r="AVH12" s="216"/>
      <c r="AVI12" s="216"/>
      <c r="AVJ12" s="216"/>
      <c r="AVK12" s="216"/>
      <c r="AVL12" s="216"/>
      <c r="AVM12" s="216"/>
      <c r="AVN12" s="216"/>
      <c r="AVO12" s="216"/>
      <c r="AVP12" s="216"/>
      <c r="AVQ12" s="216"/>
      <c r="AVR12" s="216"/>
      <c r="AVS12" s="216"/>
      <c r="AVT12" s="216"/>
      <c r="AVU12" s="216"/>
      <c r="AVV12" s="216"/>
      <c r="AVW12" s="216"/>
      <c r="AVX12" s="216"/>
      <c r="AVY12" s="216"/>
      <c r="AVZ12" s="216"/>
      <c r="AWA12" s="216"/>
      <c r="AWB12" s="216"/>
      <c r="AWC12" s="216"/>
      <c r="AWD12" s="216"/>
      <c r="AWE12" s="216"/>
      <c r="AWF12" s="216"/>
      <c r="AWG12" s="216"/>
      <c r="AWH12" s="216"/>
      <c r="AWI12" s="216"/>
      <c r="AWJ12" s="216"/>
      <c r="AWK12" s="216"/>
      <c r="AWL12" s="216"/>
      <c r="AWM12" s="216"/>
      <c r="AWN12" s="216"/>
      <c r="AWO12" s="216"/>
      <c r="AWP12" s="216"/>
      <c r="AWQ12" s="216"/>
      <c r="AWR12" s="216"/>
      <c r="AWS12" s="216"/>
      <c r="AWT12" s="216"/>
      <c r="AWU12" s="216"/>
      <c r="AWV12" s="216"/>
      <c r="AWW12" s="216"/>
      <c r="AWX12" s="216"/>
      <c r="AWY12" s="216"/>
      <c r="AWZ12" s="216"/>
      <c r="AXA12" s="216"/>
      <c r="AXB12" s="216"/>
      <c r="AXC12" s="216"/>
      <c r="AXD12" s="216"/>
      <c r="AXE12" s="216"/>
      <c r="AXF12" s="216"/>
      <c r="AXG12" s="216"/>
      <c r="AXH12" s="216"/>
      <c r="AXI12" s="216"/>
      <c r="AXJ12" s="216"/>
      <c r="AXK12" s="216"/>
      <c r="AXL12" s="216"/>
      <c r="AXM12" s="216"/>
      <c r="AXN12" s="216"/>
      <c r="AXO12" s="216"/>
      <c r="AXP12" s="216"/>
      <c r="AXQ12" s="216"/>
      <c r="AXR12" s="216"/>
      <c r="AXS12" s="216"/>
      <c r="AXT12" s="216"/>
      <c r="AXU12" s="216"/>
      <c r="AXV12" s="216"/>
      <c r="AXW12" s="216"/>
      <c r="AXX12" s="216"/>
      <c r="AXY12" s="216"/>
      <c r="AXZ12" s="216"/>
      <c r="AYA12" s="216"/>
      <c r="AYB12" s="216"/>
      <c r="AYC12" s="216"/>
      <c r="AYD12" s="216"/>
      <c r="AYE12" s="216"/>
      <c r="AYF12" s="216"/>
      <c r="AYG12" s="216"/>
      <c r="AYH12" s="216"/>
      <c r="AYI12" s="216"/>
      <c r="AYJ12" s="216"/>
      <c r="AYK12" s="216"/>
      <c r="AYL12" s="216"/>
      <c r="AYM12" s="216"/>
      <c r="AYN12" s="216"/>
      <c r="AYO12" s="216"/>
      <c r="AYP12" s="216"/>
      <c r="AYQ12" s="216"/>
      <c r="AYR12" s="216"/>
      <c r="AYS12" s="216"/>
      <c r="AYT12" s="216"/>
      <c r="AYU12" s="216"/>
      <c r="AYV12" s="216"/>
      <c r="AYW12" s="216"/>
      <c r="AYX12" s="216"/>
      <c r="AYY12" s="216"/>
      <c r="AYZ12" s="216"/>
      <c r="AZA12" s="216"/>
      <c r="AZB12" s="216"/>
      <c r="AZC12" s="216"/>
      <c r="AZD12" s="216"/>
      <c r="AZE12" s="216"/>
      <c r="AZF12" s="216"/>
      <c r="AZG12" s="216"/>
      <c r="AZH12" s="216"/>
      <c r="AZI12" s="216"/>
      <c r="AZJ12" s="216"/>
      <c r="AZK12" s="216"/>
      <c r="AZL12" s="216"/>
      <c r="AZM12" s="216"/>
      <c r="AZN12" s="216"/>
      <c r="AZO12" s="216"/>
      <c r="AZP12" s="216"/>
      <c r="AZQ12" s="216"/>
      <c r="AZR12" s="216"/>
      <c r="AZS12" s="216"/>
      <c r="AZT12" s="216"/>
      <c r="AZU12" s="216"/>
      <c r="AZV12" s="216"/>
      <c r="AZW12" s="216"/>
      <c r="AZX12" s="216"/>
      <c r="AZY12" s="216"/>
      <c r="AZZ12" s="216"/>
      <c r="BAA12" s="216"/>
      <c r="BAB12" s="216"/>
      <c r="BAC12" s="216"/>
      <c r="BAD12" s="216"/>
      <c r="BAE12" s="216"/>
      <c r="BAF12" s="216"/>
      <c r="BAG12" s="216"/>
      <c r="BAH12" s="216"/>
      <c r="BAI12" s="216"/>
      <c r="BAJ12" s="216"/>
      <c r="BAK12" s="216"/>
      <c r="BAL12" s="216"/>
      <c r="BAM12" s="216"/>
      <c r="BAN12" s="216"/>
      <c r="BAO12" s="216"/>
      <c r="BAP12" s="216"/>
      <c r="BAQ12" s="216"/>
      <c r="BAR12" s="216"/>
      <c r="BAS12" s="216"/>
      <c r="BAT12" s="216"/>
      <c r="BAU12" s="216"/>
      <c r="BAV12" s="216"/>
      <c r="BAW12" s="216"/>
      <c r="BAX12" s="216"/>
      <c r="BAY12" s="216"/>
      <c r="BAZ12" s="216"/>
      <c r="BBA12" s="216"/>
      <c r="BBB12" s="216"/>
      <c r="BBC12" s="216"/>
      <c r="BBD12" s="216"/>
      <c r="BBE12" s="216"/>
      <c r="BBF12" s="216"/>
      <c r="BBG12" s="216"/>
      <c r="BBH12" s="216"/>
      <c r="BBI12" s="216"/>
      <c r="BBJ12" s="216"/>
      <c r="BBK12" s="216"/>
      <c r="BBL12" s="216"/>
      <c r="BBM12" s="216"/>
      <c r="BBN12" s="216"/>
      <c r="BBO12" s="216"/>
      <c r="BBP12" s="216"/>
      <c r="BBQ12" s="216"/>
      <c r="BBR12" s="216"/>
      <c r="BBS12" s="216"/>
      <c r="BBT12" s="216"/>
      <c r="BBU12" s="216"/>
      <c r="BBV12" s="216"/>
      <c r="BBW12" s="216"/>
      <c r="BBX12" s="216"/>
      <c r="BBY12" s="216"/>
      <c r="BBZ12" s="216"/>
      <c r="BCA12" s="216"/>
      <c r="BCB12" s="216"/>
      <c r="BCC12" s="216"/>
      <c r="BCD12" s="216"/>
      <c r="BCE12" s="216"/>
      <c r="BCF12" s="216"/>
      <c r="BCG12" s="216"/>
      <c r="BCH12" s="216"/>
      <c r="BCI12" s="216"/>
      <c r="BCJ12" s="216"/>
      <c r="BCK12" s="216"/>
      <c r="BCL12" s="216"/>
      <c r="BCM12" s="216"/>
      <c r="BCN12" s="216"/>
      <c r="BCO12" s="216"/>
      <c r="BCP12" s="216"/>
      <c r="BCQ12" s="216"/>
      <c r="BCR12" s="216"/>
      <c r="BCS12" s="216"/>
      <c r="BCT12" s="216"/>
      <c r="BCU12" s="216"/>
      <c r="BCV12" s="216"/>
      <c r="BCW12" s="216"/>
      <c r="BCX12" s="216"/>
      <c r="BCY12" s="216"/>
      <c r="BCZ12" s="216"/>
      <c r="BDA12" s="216"/>
      <c r="BDB12" s="216"/>
      <c r="BDC12" s="216"/>
      <c r="BDD12" s="216"/>
      <c r="BDE12" s="216"/>
      <c r="BDF12" s="216"/>
      <c r="BDG12" s="216"/>
      <c r="BDH12" s="216"/>
      <c r="BDI12" s="216"/>
      <c r="BDJ12" s="216"/>
      <c r="BDK12" s="216"/>
      <c r="BDL12" s="216"/>
      <c r="BDM12" s="216"/>
      <c r="BDN12" s="216"/>
      <c r="BDO12" s="216"/>
      <c r="BDP12" s="216"/>
      <c r="BDQ12" s="216"/>
      <c r="BDR12" s="216"/>
      <c r="BDS12" s="216"/>
      <c r="BDT12" s="216"/>
      <c r="BDU12" s="216"/>
      <c r="BDV12" s="216"/>
      <c r="BDW12" s="216"/>
      <c r="BDX12" s="216"/>
      <c r="BDY12" s="216"/>
      <c r="BDZ12" s="216"/>
      <c r="BEA12" s="216"/>
      <c r="BEB12" s="216"/>
      <c r="BEC12" s="216"/>
      <c r="BED12" s="216"/>
      <c r="BEE12" s="216"/>
      <c r="BEF12" s="216"/>
      <c r="BEG12" s="216"/>
      <c r="BEH12" s="216"/>
      <c r="BEI12" s="216"/>
      <c r="BEJ12" s="216"/>
      <c r="BEK12" s="216"/>
      <c r="BEL12" s="216"/>
      <c r="BEM12" s="216"/>
      <c r="BEN12" s="216"/>
      <c r="BEO12" s="216"/>
      <c r="BEP12" s="216"/>
      <c r="BEQ12" s="216"/>
      <c r="BER12" s="216"/>
      <c r="BES12" s="216"/>
      <c r="BET12" s="216"/>
      <c r="BEU12" s="216"/>
      <c r="BEV12" s="216"/>
      <c r="BEW12" s="216"/>
      <c r="BEX12" s="216"/>
      <c r="BEY12" s="216"/>
      <c r="BEZ12" s="216"/>
      <c r="BFA12" s="216"/>
      <c r="BFB12" s="216"/>
      <c r="BFC12" s="216"/>
      <c r="BFD12" s="216"/>
      <c r="BFE12" s="216"/>
      <c r="BFF12" s="216"/>
      <c r="BFG12" s="216"/>
      <c r="BFH12" s="216"/>
      <c r="BFI12" s="216"/>
      <c r="BFJ12" s="216"/>
      <c r="BFK12" s="216"/>
      <c r="BFL12" s="216"/>
      <c r="BFM12" s="216"/>
      <c r="BFN12" s="216"/>
      <c r="BFO12" s="216"/>
      <c r="BFP12" s="216"/>
      <c r="BFQ12" s="216"/>
      <c r="BFR12" s="216"/>
      <c r="BFS12" s="216"/>
      <c r="BFT12" s="216"/>
      <c r="BFU12" s="216"/>
      <c r="BFV12" s="216"/>
      <c r="BFW12" s="216"/>
      <c r="BFX12" s="216"/>
      <c r="BFY12" s="216"/>
      <c r="BFZ12" s="216"/>
      <c r="BGA12" s="216"/>
      <c r="BGB12" s="216"/>
      <c r="BGC12" s="216"/>
      <c r="BGD12" s="216"/>
      <c r="BGE12" s="216"/>
      <c r="BGF12" s="216"/>
      <c r="BGG12" s="216"/>
      <c r="BGH12" s="216"/>
      <c r="BGI12" s="216"/>
      <c r="BGJ12" s="216"/>
      <c r="BGK12" s="216"/>
      <c r="BGL12" s="216"/>
      <c r="BGM12" s="216"/>
      <c r="BGN12" s="216"/>
      <c r="BGO12" s="216"/>
      <c r="BGP12" s="216"/>
      <c r="BGQ12" s="216"/>
      <c r="BGR12" s="216"/>
      <c r="BGS12" s="216"/>
      <c r="BGT12" s="216"/>
      <c r="BGU12" s="216"/>
      <c r="BGV12" s="216"/>
      <c r="BGW12" s="216"/>
      <c r="BGX12" s="216"/>
      <c r="BGY12" s="216"/>
      <c r="BGZ12" s="216"/>
      <c r="BHA12" s="216"/>
      <c r="BHB12" s="216"/>
      <c r="BHC12" s="216"/>
      <c r="BHD12" s="216"/>
      <c r="BHE12" s="216"/>
      <c r="BHF12" s="73"/>
    </row>
    <row r="13" spans="1:1566" ht="42.75" customHeight="1" thickBot="1" x14ac:dyDescent="0.3">
      <c r="B13" s="51"/>
      <c r="C13" s="214" t="s">
        <v>16</v>
      </c>
      <c r="D13" s="117"/>
      <c r="E13" s="212" t="s">
        <v>17</v>
      </c>
      <c r="F13" s="202" t="s">
        <v>18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19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20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21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22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23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24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25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26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27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28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29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30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31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32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33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34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35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36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37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38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39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40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41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42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43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73"/>
    </row>
    <row r="14" spans="1:1566" ht="12.75" customHeight="1" thickBot="1" x14ac:dyDescent="0.35">
      <c r="B14" s="51"/>
      <c r="C14" s="215"/>
      <c r="D14" s="118"/>
      <c r="E14" s="213"/>
      <c r="F14" s="81"/>
      <c r="G14" s="82"/>
      <c r="H14" s="82"/>
      <c r="I14" s="82"/>
      <c r="J14" s="201" t="s">
        <v>44</v>
      </c>
      <c r="K14" s="201"/>
      <c r="L14" s="201"/>
      <c r="M14" s="201"/>
      <c r="N14" s="82"/>
      <c r="O14" s="82"/>
      <c r="P14" s="199" t="s">
        <v>45</v>
      </c>
      <c r="Q14" s="199"/>
      <c r="R14" s="199"/>
      <c r="S14" s="199"/>
      <c r="T14" s="102"/>
      <c r="U14" s="102"/>
      <c r="V14" s="201" t="s">
        <v>46</v>
      </c>
      <c r="W14" s="201"/>
      <c r="X14" s="201"/>
      <c r="Y14" s="201"/>
      <c r="Z14" s="82"/>
      <c r="AA14" s="82"/>
      <c r="AB14" s="199" t="s">
        <v>47</v>
      </c>
      <c r="AC14" s="199"/>
      <c r="AD14" s="199"/>
      <c r="AE14" s="199"/>
      <c r="AF14" s="102"/>
      <c r="AG14" s="102"/>
      <c r="AH14" s="201" t="s">
        <v>48</v>
      </c>
      <c r="AI14" s="201"/>
      <c r="AJ14" s="201"/>
      <c r="AK14" s="201"/>
      <c r="AL14" s="82"/>
      <c r="AM14" s="82"/>
      <c r="AN14" s="199" t="s">
        <v>49</v>
      </c>
      <c r="AO14" s="199"/>
      <c r="AP14" s="199"/>
      <c r="AQ14" s="199"/>
      <c r="AR14" s="102"/>
      <c r="AS14" s="102"/>
      <c r="AT14" s="201" t="s">
        <v>50</v>
      </c>
      <c r="AU14" s="201"/>
      <c r="AV14" s="201"/>
      <c r="AW14" s="201"/>
      <c r="AX14" s="82"/>
      <c r="AY14" s="82"/>
      <c r="AZ14" s="199" t="s">
        <v>51</v>
      </c>
      <c r="BA14" s="199"/>
      <c r="BB14" s="199"/>
      <c r="BC14" s="199"/>
      <c r="BD14" s="102"/>
      <c r="BE14" s="102"/>
      <c r="BF14" s="201" t="s">
        <v>52</v>
      </c>
      <c r="BG14" s="201"/>
      <c r="BH14" s="201"/>
      <c r="BI14" s="201"/>
      <c r="BJ14" s="82"/>
      <c r="BK14" s="82"/>
      <c r="BL14" s="82"/>
      <c r="BM14" s="83"/>
      <c r="BN14" s="81"/>
      <c r="BO14" s="82"/>
      <c r="BP14" s="82"/>
      <c r="BQ14" s="82"/>
      <c r="BR14" s="201" t="s">
        <v>44</v>
      </c>
      <c r="BS14" s="201"/>
      <c r="BT14" s="201"/>
      <c r="BU14" s="201"/>
      <c r="BV14" s="82"/>
      <c r="BW14" s="82"/>
      <c r="BX14" s="199" t="s">
        <v>45</v>
      </c>
      <c r="BY14" s="199"/>
      <c r="BZ14" s="199"/>
      <c r="CA14" s="199"/>
      <c r="CB14" s="102"/>
      <c r="CC14" s="102"/>
      <c r="CD14" s="201" t="s">
        <v>46</v>
      </c>
      <c r="CE14" s="201"/>
      <c r="CF14" s="201"/>
      <c r="CG14" s="201"/>
      <c r="CH14" s="82"/>
      <c r="CI14" s="82"/>
      <c r="CJ14" s="199" t="s">
        <v>47</v>
      </c>
      <c r="CK14" s="199"/>
      <c r="CL14" s="199"/>
      <c r="CM14" s="199"/>
      <c r="CN14" s="102"/>
      <c r="CO14" s="102"/>
      <c r="CP14" s="201" t="s">
        <v>48</v>
      </c>
      <c r="CQ14" s="201"/>
      <c r="CR14" s="201"/>
      <c r="CS14" s="201"/>
      <c r="CT14" s="82"/>
      <c r="CU14" s="82"/>
      <c r="CV14" s="199" t="s">
        <v>49</v>
      </c>
      <c r="CW14" s="199"/>
      <c r="CX14" s="199"/>
      <c r="CY14" s="199"/>
      <c r="CZ14" s="102"/>
      <c r="DA14" s="102"/>
      <c r="DB14" s="201" t="s">
        <v>50</v>
      </c>
      <c r="DC14" s="201"/>
      <c r="DD14" s="201"/>
      <c r="DE14" s="201"/>
      <c r="DF14" s="82"/>
      <c r="DG14" s="82"/>
      <c r="DH14" s="199" t="s">
        <v>51</v>
      </c>
      <c r="DI14" s="199"/>
      <c r="DJ14" s="199"/>
      <c r="DK14" s="199"/>
      <c r="DL14" s="102"/>
      <c r="DM14" s="102"/>
      <c r="DN14" s="201" t="s">
        <v>52</v>
      </c>
      <c r="DO14" s="201"/>
      <c r="DP14" s="201"/>
      <c r="DQ14" s="201"/>
      <c r="DR14" s="82"/>
      <c r="DS14" s="82"/>
      <c r="DT14" s="82"/>
      <c r="DU14" s="83"/>
      <c r="DV14" s="81"/>
      <c r="DW14" s="82"/>
      <c r="DX14" s="82"/>
      <c r="DY14" s="82"/>
      <c r="DZ14" s="201" t="s">
        <v>44</v>
      </c>
      <c r="EA14" s="201"/>
      <c r="EB14" s="201"/>
      <c r="EC14" s="201"/>
      <c r="ED14" s="82"/>
      <c r="EE14" s="82"/>
      <c r="EF14" s="199" t="s">
        <v>45</v>
      </c>
      <c r="EG14" s="199"/>
      <c r="EH14" s="199"/>
      <c r="EI14" s="199"/>
      <c r="EJ14" s="102"/>
      <c r="EK14" s="102"/>
      <c r="EL14" s="201" t="s">
        <v>46</v>
      </c>
      <c r="EM14" s="201"/>
      <c r="EN14" s="201"/>
      <c r="EO14" s="201"/>
      <c r="EP14" s="82"/>
      <c r="EQ14" s="82"/>
      <c r="ER14" s="199" t="s">
        <v>47</v>
      </c>
      <c r="ES14" s="199"/>
      <c r="ET14" s="199"/>
      <c r="EU14" s="199"/>
      <c r="EV14" s="102"/>
      <c r="EW14" s="102"/>
      <c r="EX14" s="201" t="s">
        <v>48</v>
      </c>
      <c r="EY14" s="201"/>
      <c r="EZ14" s="201"/>
      <c r="FA14" s="201"/>
      <c r="FB14" s="82"/>
      <c r="FC14" s="82"/>
      <c r="FD14" s="199" t="s">
        <v>49</v>
      </c>
      <c r="FE14" s="199"/>
      <c r="FF14" s="199"/>
      <c r="FG14" s="199"/>
      <c r="FH14" s="102"/>
      <c r="FI14" s="102"/>
      <c r="FJ14" s="201" t="s">
        <v>50</v>
      </c>
      <c r="FK14" s="201"/>
      <c r="FL14" s="201"/>
      <c r="FM14" s="201"/>
      <c r="FN14" s="82"/>
      <c r="FO14" s="82"/>
      <c r="FP14" s="199" t="s">
        <v>51</v>
      </c>
      <c r="FQ14" s="199"/>
      <c r="FR14" s="199"/>
      <c r="FS14" s="199"/>
      <c r="FT14" s="102"/>
      <c r="FU14" s="102"/>
      <c r="FV14" s="201" t="s">
        <v>52</v>
      </c>
      <c r="FW14" s="201"/>
      <c r="FX14" s="201"/>
      <c r="FY14" s="201"/>
      <c r="FZ14" s="82"/>
      <c r="GA14" s="82"/>
      <c r="GB14" s="82"/>
      <c r="GC14" s="83"/>
      <c r="GD14" s="81"/>
      <c r="GE14" s="82"/>
      <c r="GF14" s="82"/>
      <c r="GG14" s="82"/>
      <c r="GH14" s="201" t="s">
        <v>44</v>
      </c>
      <c r="GI14" s="201"/>
      <c r="GJ14" s="201"/>
      <c r="GK14" s="201"/>
      <c r="GL14" s="82"/>
      <c r="GM14" s="82"/>
      <c r="GN14" s="199" t="s">
        <v>45</v>
      </c>
      <c r="GO14" s="199"/>
      <c r="GP14" s="199"/>
      <c r="GQ14" s="199"/>
      <c r="GR14" s="102"/>
      <c r="GS14" s="102"/>
      <c r="GT14" s="201" t="s">
        <v>46</v>
      </c>
      <c r="GU14" s="201"/>
      <c r="GV14" s="201"/>
      <c r="GW14" s="201"/>
      <c r="GX14" s="82"/>
      <c r="GY14" s="82"/>
      <c r="GZ14" s="199" t="s">
        <v>47</v>
      </c>
      <c r="HA14" s="199"/>
      <c r="HB14" s="199"/>
      <c r="HC14" s="199"/>
      <c r="HD14" s="102"/>
      <c r="HE14" s="102"/>
      <c r="HF14" s="201" t="s">
        <v>48</v>
      </c>
      <c r="HG14" s="201"/>
      <c r="HH14" s="201"/>
      <c r="HI14" s="201"/>
      <c r="HJ14" s="82"/>
      <c r="HK14" s="82"/>
      <c r="HL14" s="199" t="s">
        <v>49</v>
      </c>
      <c r="HM14" s="199"/>
      <c r="HN14" s="199"/>
      <c r="HO14" s="199"/>
      <c r="HP14" s="102"/>
      <c r="HQ14" s="102"/>
      <c r="HR14" s="201" t="s">
        <v>50</v>
      </c>
      <c r="HS14" s="201"/>
      <c r="HT14" s="201"/>
      <c r="HU14" s="201"/>
      <c r="HV14" s="82"/>
      <c r="HW14" s="82"/>
      <c r="HX14" s="199" t="s">
        <v>51</v>
      </c>
      <c r="HY14" s="199"/>
      <c r="HZ14" s="199"/>
      <c r="IA14" s="199"/>
      <c r="IB14" s="102"/>
      <c r="IC14" s="102"/>
      <c r="ID14" s="201" t="s">
        <v>52</v>
      </c>
      <c r="IE14" s="201"/>
      <c r="IF14" s="201"/>
      <c r="IG14" s="201"/>
      <c r="IH14" s="82"/>
      <c r="II14" s="82"/>
      <c r="IJ14" s="82"/>
      <c r="IK14" s="83"/>
      <c r="IL14" s="81"/>
      <c r="IM14" s="82"/>
      <c r="IN14" s="82"/>
      <c r="IO14" s="82"/>
      <c r="IP14" s="201" t="s">
        <v>44</v>
      </c>
      <c r="IQ14" s="201"/>
      <c r="IR14" s="201"/>
      <c r="IS14" s="201"/>
      <c r="IT14" s="82"/>
      <c r="IU14" s="82"/>
      <c r="IV14" s="199" t="s">
        <v>45</v>
      </c>
      <c r="IW14" s="199"/>
      <c r="IX14" s="199"/>
      <c r="IY14" s="199"/>
      <c r="IZ14" s="102"/>
      <c r="JA14" s="102"/>
      <c r="JB14" s="201" t="s">
        <v>46</v>
      </c>
      <c r="JC14" s="201"/>
      <c r="JD14" s="201"/>
      <c r="JE14" s="201"/>
      <c r="JF14" s="82"/>
      <c r="JG14" s="82"/>
      <c r="JH14" s="199" t="s">
        <v>47</v>
      </c>
      <c r="JI14" s="199"/>
      <c r="JJ14" s="199"/>
      <c r="JK14" s="199"/>
      <c r="JL14" s="102"/>
      <c r="JM14" s="102"/>
      <c r="JN14" s="201" t="s">
        <v>48</v>
      </c>
      <c r="JO14" s="201"/>
      <c r="JP14" s="201"/>
      <c r="JQ14" s="201"/>
      <c r="JR14" s="82"/>
      <c r="JS14" s="82"/>
      <c r="JT14" s="199" t="s">
        <v>49</v>
      </c>
      <c r="JU14" s="199"/>
      <c r="JV14" s="199"/>
      <c r="JW14" s="199"/>
      <c r="JX14" s="102"/>
      <c r="JY14" s="102"/>
      <c r="JZ14" s="201" t="s">
        <v>50</v>
      </c>
      <c r="KA14" s="201"/>
      <c r="KB14" s="201"/>
      <c r="KC14" s="201"/>
      <c r="KD14" s="82"/>
      <c r="KE14" s="82"/>
      <c r="KF14" s="199" t="s">
        <v>51</v>
      </c>
      <c r="KG14" s="199"/>
      <c r="KH14" s="199"/>
      <c r="KI14" s="199"/>
      <c r="KJ14" s="102"/>
      <c r="KK14" s="102"/>
      <c r="KL14" s="201" t="s">
        <v>52</v>
      </c>
      <c r="KM14" s="201"/>
      <c r="KN14" s="201"/>
      <c r="KO14" s="201"/>
      <c r="KP14" s="82"/>
      <c r="KQ14" s="82"/>
      <c r="KR14" s="82"/>
      <c r="KS14" s="83"/>
      <c r="KT14" s="81"/>
      <c r="KU14" s="82"/>
      <c r="KV14" s="82"/>
      <c r="KW14" s="82"/>
      <c r="KX14" s="201" t="s">
        <v>44</v>
      </c>
      <c r="KY14" s="201"/>
      <c r="KZ14" s="201"/>
      <c r="LA14" s="201"/>
      <c r="LB14" s="82"/>
      <c r="LC14" s="82"/>
      <c r="LD14" s="199" t="s">
        <v>45</v>
      </c>
      <c r="LE14" s="199"/>
      <c r="LF14" s="199"/>
      <c r="LG14" s="199"/>
      <c r="LH14" s="102"/>
      <c r="LI14" s="102"/>
      <c r="LJ14" s="201" t="s">
        <v>46</v>
      </c>
      <c r="LK14" s="201"/>
      <c r="LL14" s="201"/>
      <c r="LM14" s="201"/>
      <c r="LN14" s="82"/>
      <c r="LO14" s="82"/>
      <c r="LP14" s="199" t="s">
        <v>47</v>
      </c>
      <c r="LQ14" s="199"/>
      <c r="LR14" s="199"/>
      <c r="LS14" s="199"/>
      <c r="LT14" s="102"/>
      <c r="LU14" s="102"/>
      <c r="LV14" s="201" t="s">
        <v>48</v>
      </c>
      <c r="LW14" s="201"/>
      <c r="LX14" s="201"/>
      <c r="LY14" s="201"/>
      <c r="LZ14" s="82"/>
      <c r="MA14" s="82"/>
      <c r="MB14" s="199" t="s">
        <v>49</v>
      </c>
      <c r="MC14" s="199"/>
      <c r="MD14" s="199"/>
      <c r="ME14" s="199"/>
      <c r="MF14" s="102"/>
      <c r="MG14" s="102"/>
      <c r="MH14" s="201" t="s">
        <v>50</v>
      </c>
      <c r="MI14" s="201"/>
      <c r="MJ14" s="201"/>
      <c r="MK14" s="201"/>
      <c r="ML14" s="82"/>
      <c r="MM14" s="82"/>
      <c r="MN14" s="199" t="s">
        <v>51</v>
      </c>
      <c r="MO14" s="199"/>
      <c r="MP14" s="199"/>
      <c r="MQ14" s="199"/>
      <c r="MR14" s="102"/>
      <c r="MS14" s="102"/>
      <c r="MT14" s="201" t="s">
        <v>52</v>
      </c>
      <c r="MU14" s="201"/>
      <c r="MV14" s="201"/>
      <c r="MW14" s="201"/>
      <c r="MX14" s="82"/>
      <c r="MY14" s="82"/>
      <c r="MZ14" s="82"/>
      <c r="NA14" s="83"/>
      <c r="NB14" s="81"/>
      <c r="NC14" s="82"/>
      <c r="ND14" s="82"/>
      <c r="NE14" s="82"/>
      <c r="NF14" s="201" t="s">
        <v>44</v>
      </c>
      <c r="NG14" s="201"/>
      <c r="NH14" s="201"/>
      <c r="NI14" s="201"/>
      <c r="NJ14" s="82"/>
      <c r="NK14" s="82"/>
      <c r="NL14" s="199" t="s">
        <v>45</v>
      </c>
      <c r="NM14" s="199"/>
      <c r="NN14" s="199"/>
      <c r="NO14" s="199"/>
      <c r="NP14" s="102"/>
      <c r="NQ14" s="102"/>
      <c r="NR14" s="201" t="s">
        <v>46</v>
      </c>
      <c r="NS14" s="201"/>
      <c r="NT14" s="201"/>
      <c r="NU14" s="201"/>
      <c r="NV14" s="82"/>
      <c r="NW14" s="82"/>
      <c r="NX14" s="199" t="s">
        <v>47</v>
      </c>
      <c r="NY14" s="199"/>
      <c r="NZ14" s="199"/>
      <c r="OA14" s="199"/>
      <c r="OB14" s="102"/>
      <c r="OC14" s="102"/>
      <c r="OD14" s="201" t="s">
        <v>48</v>
      </c>
      <c r="OE14" s="201"/>
      <c r="OF14" s="201"/>
      <c r="OG14" s="201"/>
      <c r="OH14" s="82"/>
      <c r="OI14" s="82"/>
      <c r="OJ14" s="199" t="s">
        <v>49</v>
      </c>
      <c r="OK14" s="199"/>
      <c r="OL14" s="199"/>
      <c r="OM14" s="199"/>
      <c r="ON14" s="102"/>
      <c r="OO14" s="102"/>
      <c r="OP14" s="201" t="s">
        <v>50</v>
      </c>
      <c r="OQ14" s="201"/>
      <c r="OR14" s="201"/>
      <c r="OS14" s="201"/>
      <c r="OT14" s="82"/>
      <c r="OU14" s="82"/>
      <c r="OV14" s="199" t="s">
        <v>51</v>
      </c>
      <c r="OW14" s="199"/>
      <c r="OX14" s="199"/>
      <c r="OY14" s="199"/>
      <c r="OZ14" s="102"/>
      <c r="PA14" s="102"/>
      <c r="PB14" s="201" t="s">
        <v>52</v>
      </c>
      <c r="PC14" s="201"/>
      <c r="PD14" s="201"/>
      <c r="PE14" s="201"/>
      <c r="PF14" s="82"/>
      <c r="PG14" s="82"/>
      <c r="PH14" s="82"/>
      <c r="PI14" s="83"/>
      <c r="PJ14" s="81"/>
      <c r="PK14" s="82"/>
      <c r="PL14" s="82"/>
      <c r="PM14" s="82"/>
      <c r="PN14" s="201" t="s">
        <v>44</v>
      </c>
      <c r="PO14" s="201"/>
      <c r="PP14" s="201"/>
      <c r="PQ14" s="201"/>
      <c r="PR14" s="82"/>
      <c r="PS14" s="82"/>
      <c r="PT14" s="199" t="s">
        <v>45</v>
      </c>
      <c r="PU14" s="199"/>
      <c r="PV14" s="199"/>
      <c r="PW14" s="199"/>
      <c r="PX14" s="102"/>
      <c r="PY14" s="102"/>
      <c r="PZ14" s="201" t="s">
        <v>46</v>
      </c>
      <c r="QA14" s="201"/>
      <c r="QB14" s="201"/>
      <c r="QC14" s="201"/>
      <c r="QD14" s="82"/>
      <c r="QE14" s="82"/>
      <c r="QF14" s="199" t="s">
        <v>47</v>
      </c>
      <c r="QG14" s="199"/>
      <c r="QH14" s="199"/>
      <c r="QI14" s="199"/>
      <c r="QJ14" s="102"/>
      <c r="QK14" s="102"/>
      <c r="QL14" s="201" t="s">
        <v>48</v>
      </c>
      <c r="QM14" s="201"/>
      <c r="QN14" s="201"/>
      <c r="QO14" s="201"/>
      <c r="QP14" s="82"/>
      <c r="QQ14" s="82"/>
      <c r="QR14" s="199" t="s">
        <v>49</v>
      </c>
      <c r="QS14" s="199"/>
      <c r="QT14" s="199"/>
      <c r="QU14" s="199"/>
      <c r="QV14" s="102"/>
      <c r="QW14" s="102"/>
      <c r="QX14" s="201" t="s">
        <v>50</v>
      </c>
      <c r="QY14" s="201"/>
      <c r="QZ14" s="201"/>
      <c r="RA14" s="201"/>
      <c r="RB14" s="82"/>
      <c r="RC14" s="82"/>
      <c r="RD14" s="199" t="s">
        <v>51</v>
      </c>
      <c r="RE14" s="199"/>
      <c r="RF14" s="199"/>
      <c r="RG14" s="199"/>
      <c r="RH14" s="102"/>
      <c r="RI14" s="102"/>
      <c r="RJ14" s="201" t="s">
        <v>52</v>
      </c>
      <c r="RK14" s="201"/>
      <c r="RL14" s="201"/>
      <c r="RM14" s="201"/>
      <c r="RN14" s="82"/>
      <c r="RO14" s="82"/>
      <c r="RP14" s="82"/>
      <c r="RQ14" s="83"/>
      <c r="RR14" s="81"/>
      <c r="RS14" s="82"/>
      <c r="RT14" s="82"/>
      <c r="RU14" s="82"/>
      <c r="RV14" s="201" t="s">
        <v>44</v>
      </c>
      <c r="RW14" s="201"/>
      <c r="RX14" s="201"/>
      <c r="RY14" s="201"/>
      <c r="RZ14" s="82"/>
      <c r="SA14" s="82"/>
      <c r="SB14" s="199" t="s">
        <v>45</v>
      </c>
      <c r="SC14" s="199"/>
      <c r="SD14" s="199"/>
      <c r="SE14" s="199"/>
      <c r="SF14" s="102"/>
      <c r="SG14" s="102"/>
      <c r="SH14" s="201" t="s">
        <v>46</v>
      </c>
      <c r="SI14" s="201"/>
      <c r="SJ14" s="201"/>
      <c r="SK14" s="201"/>
      <c r="SL14" s="82"/>
      <c r="SM14" s="82"/>
      <c r="SN14" s="199" t="s">
        <v>47</v>
      </c>
      <c r="SO14" s="199"/>
      <c r="SP14" s="199"/>
      <c r="SQ14" s="199"/>
      <c r="SR14" s="102"/>
      <c r="SS14" s="102"/>
      <c r="ST14" s="201" t="s">
        <v>48</v>
      </c>
      <c r="SU14" s="201"/>
      <c r="SV14" s="201"/>
      <c r="SW14" s="201"/>
      <c r="SX14" s="82"/>
      <c r="SY14" s="82"/>
      <c r="SZ14" s="199" t="s">
        <v>49</v>
      </c>
      <c r="TA14" s="199"/>
      <c r="TB14" s="199"/>
      <c r="TC14" s="199"/>
      <c r="TD14" s="102"/>
      <c r="TE14" s="102"/>
      <c r="TF14" s="201" t="s">
        <v>50</v>
      </c>
      <c r="TG14" s="201"/>
      <c r="TH14" s="201"/>
      <c r="TI14" s="201"/>
      <c r="TJ14" s="82"/>
      <c r="TK14" s="82"/>
      <c r="TL14" s="199" t="s">
        <v>51</v>
      </c>
      <c r="TM14" s="199"/>
      <c r="TN14" s="199"/>
      <c r="TO14" s="199"/>
      <c r="TP14" s="102"/>
      <c r="TQ14" s="102"/>
      <c r="TR14" s="201" t="s">
        <v>52</v>
      </c>
      <c r="TS14" s="201"/>
      <c r="TT14" s="201"/>
      <c r="TU14" s="201"/>
      <c r="TV14" s="82"/>
      <c r="TW14" s="82"/>
      <c r="TX14" s="82"/>
      <c r="TY14" s="83"/>
      <c r="TZ14" s="81"/>
      <c r="UA14" s="82"/>
      <c r="UB14" s="82"/>
      <c r="UC14" s="82"/>
      <c r="UD14" s="201" t="s">
        <v>44</v>
      </c>
      <c r="UE14" s="201"/>
      <c r="UF14" s="201"/>
      <c r="UG14" s="201"/>
      <c r="UH14" s="82"/>
      <c r="UI14" s="82"/>
      <c r="UJ14" s="199" t="s">
        <v>45</v>
      </c>
      <c r="UK14" s="199"/>
      <c r="UL14" s="199"/>
      <c r="UM14" s="199"/>
      <c r="UN14" s="102"/>
      <c r="UO14" s="102"/>
      <c r="UP14" s="201" t="s">
        <v>46</v>
      </c>
      <c r="UQ14" s="201"/>
      <c r="UR14" s="201"/>
      <c r="US14" s="201"/>
      <c r="UT14" s="82"/>
      <c r="UU14" s="82"/>
      <c r="UV14" s="199" t="s">
        <v>47</v>
      </c>
      <c r="UW14" s="199"/>
      <c r="UX14" s="199"/>
      <c r="UY14" s="199"/>
      <c r="UZ14" s="102"/>
      <c r="VA14" s="102"/>
      <c r="VB14" s="201" t="s">
        <v>48</v>
      </c>
      <c r="VC14" s="201"/>
      <c r="VD14" s="201"/>
      <c r="VE14" s="201"/>
      <c r="VF14" s="82"/>
      <c r="VG14" s="82"/>
      <c r="VH14" s="199" t="s">
        <v>49</v>
      </c>
      <c r="VI14" s="199"/>
      <c r="VJ14" s="199"/>
      <c r="VK14" s="199"/>
      <c r="VL14" s="102"/>
      <c r="VM14" s="102"/>
      <c r="VN14" s="201" t="s">
        <v>50</v>
      </c>
      <c r="VO14" s="201"/>
      <c r="VP14" s="201"/>
      <c r="VQ14" s="201"/>
      <c r="VR14" s="82"/>
      <c r="VS14" s="82"/>
      <c r="VT14" s="199" t="s">
        <v>51</v>
      </c>
      <c r="VU14" s="199"/>
      <c r="VV14" s="199"/>
      <c r="VW14" s="199"/>
      <c r="VX14" s="102"/>
      <c r="VY14" s="102"/>
      <c r="VZ14" s="201" t="s">
        <v>52</v>
      </c>
      <c r="WA14" s="201"/>
      <c r="WB14" s="201"/>
      <c r="WC14" s="201"/>
      <c r="WD14" s="82"/>
      <c r="WE14" s="82"/>
      <c r="WF14" s="82"/>
      <c r="WG14" s="83"/>
      <c r="WH14" s="81"/>
      <c r="WI14" s="82"/>
      <c r="WJ14" s="82"/>
      <c r="WK14" s="82"/>
      <c r="WL14" s="201" t="s">
        <v>44</v>
      </c>
      <c r="WM14" s="201"/>
      <c r="WN14" s="201"/>
      <c r="WO14" s="201"/>
      <c r="WP14" s="82"/>
      <c r="WQ14" s="82"/>
      <c r="WR14" s="199" t="s">
        <v>45</v>
      </c>
      <c r="WS14" s="199"/>
      <c r="WT14" s="199"/>
      <c r="WU14" s="199"/>
      <c r="WV14" s="102"/>
      <c r="WW14" s="102"/>
      <c r="WX14" s="201" t="s">
        <v>46</v>
      </c>
      <c r="WY14" s="201"/>
      <c r="WZ14" s="201"/>
      <c r="XA14" s="201"/>
      <c r="XB14" s="82"/>
      <c r="XC14" s="82"/>
      <c r="XD14" s="199" t="s">
        <v>47</v>
      </c>
      <c r="XE14" s="199"/>
      <c r="XF14" s="199"/>
      <c r="XG14" s="199"/>
      <c r="XH14" s="102"/>
      <c r="XI14" s="102"/>
      <c r="XJ14" s="201" t="s">
        <v>48</v>
      </c>
      <c r="XK14" s="201"/>
      <c r="XL14" s="201"/>
      <c r="XM14" s="201"/>
      <c r="XN14" s="82"/>
      <c r="XO14" s="82"/>
      <c r="XP14" s="199" t="s">
        <v>49</v>
      </c>
      <c r="XQ14" s="199"/>
      <c r="XR14" s="199"/>
      <c r="XS14" s="199"/>
      <c r="XT14" s="102"/>
      <c r="XU14" s="102"/>
      <c r="XV14" s="201" t="s">
        <v>50</v>
      </c>
      <c r="XW14" s="201"/>
      <c r="XX14" s="201"/>
      <c r="XY14" s="201"/>
      <c r="XZ14" s="82"/>
      <c r="YA14" s="82"/>
      <c r="YB14" s="199" t="s">
        <v>51</v>
      </c>
      <c r="YC14" s="199"/>
      <c r="YD14" s="199"/>
      <c r="YE14" s="199"/>
      <c r="YF14" s="102"/>
      <c r="YG14" s="102"/>
      <c r="YH14" s="201" t="s">
        <v>52</v>
      </c>
      <c r="YI14" s="201"/>
      <c r="YJ14" s="201"/>
      <c r="YK14" s="201"/>
      <c r="YL14" s="82"/>
      <c r="YM14" s="82"/>
      <c r="YN14" s="82"/>
      <c r="YO14" s="83"/>
      <c r="YP14" s="81"/>
      <c r="YQ14" s="82"/>
      <c r="YR14" s="82"/>
      <c r="YS14" s="82"/>
      <c r="YT14" s="201" t="s">
        <v>44</v>
      </c>
      <c r="YU14" s="201"/>
      <c r="YV14" s="201"/>
      <c r="YW14" s="201"/>
      <c r="YX14" s="82"/>
      <c r="YY14" s="82"/>
      <c r="YZ14" s="199" t="s">
        <v>45</v>
      </c>
      <c r="ZA14" s="199"/>
      <c r="ZB14" s="199"/>
      <c r="ZC14" s="199"/>
      <c r="ZD14" s="102"/>
      <c r="ZE14" s="102"/>
      <c r="ZF14" s="201" t="s">
        <v>46</v>
      </c>
      <c r="ZG14" s="201"/>
      <c r="ZH14" s="201"/>
      <c r="ZI14" s="201"/>
      <c r="ZJ14" s="82"/>
      <c r="ZK14" s="82"/>
      <c r="ZL14" s="199" t="s">
        <v>47</v>
      </c>
      <c r="ZM14" s="199"/>
      <c r="ZN14" s="199"/>
      <c r="ZO14" s="199"/>
      <c r="ZP14" s="102"/>
      <c r="ZQ14" s="102"/>
      <c r="ZR14" s="201" t="s">
        <v>48</v>
      </c>
      <c r="ZS14" s="201"/>
      <c r="ZT14" s="201"/>
      <c r="ZU14" s="201"/>
      <c r="ZV14" s="82"/>
      <c r="ZW14" s="82"/>
      <c r="ZX14" s="199" t="s">
        <v>49</v>
      </c>
      <c r="ZY14" s="199"/>
      <c r="ZZ14" s="199"/>
      <c r="AAA14" s="199"/>
      <c r="AAB14" s="102"/>
      <c r="AAC14" s="102"/>
      <c r="AAD14" s="201" t="s">
        <v>50</v>
      </c>
      <c r="AAE14" s="201"/>
      <c r="AAF14" s="201"/>
      <c r="AAG14" s="201"/>
      <c r="AAH14" s="82"/>
      <c r="AAI14" s="82"/>
      <c r="AAJ14" s="199" t="s">
        <v>51</v>
      </c>
      <c r="AAK14" s="199"/>
      <c r="AAL14" s="199"/>
      <c r="AAM14" s="199"/>
      <c r="AAN14" s="102"/>
      <c r="AAO14" s="102"/>
      <c r="AAP14" s="201" t="s">
        <v>52</v>
      </c>
      <c r="AAQ14" s="201"/>
      <c r="AAR14" s="201"/>
      <c r="AAS14" s="201"/>
      <c r="AAT14" s="82"/>
      <c r="AAU14" s="82"/>
      <c r="AAV14" s="82"/>
      <c r="AAW14" s="83"/>
      <c r="AAX14" s="81"/>
      <c r="AAY14" s="82"/>
      <c r="AAZ14" s="82"/>
      <c r="ABA14" s="82"/>
      <c r="ABB14" s="201" t="s">
        <v>44</v>
      </c>
      <c r="ABC14" s="201"/>
      <c r="ABD14" s="201"/>
      <c r="ABE14" s="201"/>
      <c r="ABF14" s="82"/>
      <c r="ABG14" s="82"/>
      <c r="ABH14" s="199" t="s">
        <v>45</v>
      </c>
      <c r="ABI14" s="199"/>
      <c r="ABJ14" s="199"/>
      <c r="ABK14" s="199"/>
      <c r="ABL14" s="102"/>
      <c r="ABM14" s="102"/>
      <c r="ABN14" s="201" t="s">
        <v>46</v>
      </c>
      <c r="ABO14" s="201"/>
      <c r="ABP14" s="201"/>
      <c r="ABQ14" s="201"/>
      <c r="ABR14" s="82"/>
      <c r="ABS14" s="82"/>
      <c r="ABT14" s="199" t="s">
        <v>47</v>
      </c>
      <c r="ABU14" s="199"/>
      <c r="ABV14" s="199"/>
      <c r="ABW14" s="199"/>
      <c r="ABX14" s="102"/>
      <c r="ABY14" s="102"/>
      <c r="ABZ14" s="201" t="s">
        <v>48</v>
      </c>
      <c r="ACA14" s="201"/>
      <c r="ACB14" s="201"/>
      <c r="ACC14" s="201"/>
      <c r="ACD14" s="82"/>
      <c r="ACE14" s="82"/>
      <c r="ACF14" s="199" t="s">
        <v>49</v>
      </c>
      <c r="ACG14" s="199"/>
      <c r="ACH14" s="199"/>
      <c r="ACI14" s="199"/>
      <c r="ACJ14" s="102"/>
      <c r="ACK14" s="102"/>
      <c r="ACL14" s="201" t="s">
        <v>50</v>
      </c>
      <c r="ACM14" s="201"/>
      <c r="ACN14" s="201"/>
      <c r="ACO14" s="201"/>
      <c r="ACP14" s="82"/>
      <c r="ACQ14" s="82"/>
      <c r="ACR14" s="199" t="s">
        <v>51</v>
      </c>
      <c r="ACS14" s="199"/>
      <c r="ACT14" s="199"/>
      <c r="ACU14" s="199"/>
      <c r="ACV14" s="102"/>
      <c r="ACW14" s="102"/>
      <c r="ACX14" s="201" t="s">
        <v>52</v>
      </c>
      <c r="ACY14" s="201"/>
      <c r="ACZ14" s="201"/>
      <c r="ADA14" s="201"/>
      <c r="ADB14" s="82"/>
      <c r="ADC14" s="82"/>
      <c r="ADD14" s="82"/>
      <c r="ADE14" s="83"/>
      <c r="ADF14" s="81"/>
      <c r="ADG14" s="82"/>
      <c r="ADH14" s="82"/>
      <c r="ADI14" s="82"/>
      <c r="ADJ14" s="201" t="s">
        <v>44</v>
      </c>
      <c r="ADK14" s="201"/>
      <c r="ADL14" s="201"/>
      <c r="ADM14" s="201"/>
      <c r="ADN14" s="82"/>
      <c r="ADO14" s="82"/>
      <c r="ADP14" s="199" t="s">
        <v>45</v>
      </c>
      <c r="ADQ14" s="199"/>
      <c r="ADR14" s="199"/>
      <c r="ADS14" s="199"/>
      <c r="ADT14" s="102"/>
      <c r="ADU14" s="102"/>
      <c r="ADV14" s="201" t="s">
        <v>46</v>
      </c>
      <c r="ADW14" s="201"/>
      <c r="ADX14" s="201"/>
      <c r="ADY14" s="201"/>
      <c r="ADZ14" s="82"/>
      <c r="AEA14" s="82"/>
      <c r="AEB14" s="199" t="s">
        <v>47</v>
      </c>
      <c r="AEC14" s="199"/>
      <c r="AED14" s="199"/>
      <c r="AEE14" s="199"/>
      <c r="AEF14" s="102"/>
      <c r="AEG14" s="102"/>
      <c r="AEH14" s="201" t="s">
        <v>48</v>
      </c>
      <c r="AEI14" s="201"/>
      <c r="AEJ14" s="201"/>
      <c r="AEK14" s="201"/>
      <c r="AEL14" s="82"/>
      <c r="AEM14" s="82"/>
      <c r="AEN14" s="199" t="s">
        <v>49</v>
      </c>
      <c r="AEO14" s="199"/>
      <c r="AEP14" s="199"/>
      <c r="AEQ14" s="199"/>
      <c r="AER14" s="102"/>
      <c r="AES14" s="102"/>
      <c r="AET14" s="201" t="s">
        <v>50</v>
      </c>
      <c r="AEU14" s="201"/>
      <c r="AEV14" s="201"/>
      <c r="AEW14" s="201"/>
      <c r="AEX14" s="82"/>
      <c r="AEY14" s="82"/>
      <c r="AEZ14" s="199" t="s">
        <v>51</v>
      </c>
      <c r="AFA14" s="199"/>
      <c r="AFB14" s="199"/>
      <c r="AFC14" s="199"/>
      <c r="AFD14" s="102"/>
      <c r="AFE14" s="102"/>
      <c r="AFF14" s="201" t="s">
        <v>52</v>
      </c>
      <c r="AFG14" s="201"/>
      <c r="AFH14" s="201"/>
      <c r="AFI14" s="201"/>
      <c r="AFJ14" s="82"/>
      <c r="AFK14" s="82"/>
      <c r="AFL14" s="82"/>
      <c r="AFM14" s="83"/>
      <c r="AFN14" s="81"/>
      <c r="AFO14" s="82"/>
      <c r="AFP14" s="82"/>
      <c r="AFQ14" s="82"/>
      <c r="AFR14" s="201" t="s">
        <v>44</v>
      </c>
      <c r="AFS14" s="201"/>
      <c r="AFT14" s="201"/>
      <c r="AFU14" s="201"/>
      <c r="AFV14" s="82"/>
      <c r="AFW14" s="82"/>
      <c r="AFX14" s="199" t="s">
        <v>45</v>
      </c>
      <c r="AFY14" s="199"/>
      <c r="AFZ14" s="199"/>
      <c r="AGA14" s="199"/>
      <c r="AGB14" s="102"/>
      <c r="AGC14" s="102"/>
      <c r="AGD14" s="201" t="s">
        <v>46</v>
      </c>
      <c r="AGE14" s="201"/>
      <c r="AGF14" s="201"/>
      <c r="AGG14" s="201"/>
      <c r="AGH14" s="82"/>
      <c r="AGI14" s="82"/>
      <c r="AGJ14" s="199" t="s">
        <v>47</v>
      </c>
      <c r="AGK14" s="199"/>
      <c r="AGL14" s="199"/>
      <c r="AGM14" s="199"/>
      <c r="AGN14" s="102"/>
      <c r="AGO14" s="102"/>
      <c r="AGP14" s="201" t="s">
        <v>48</v>
      </c>
      <c r="AGQ14" s="201"/>
      <c r="AGR14" s="201"/>
      <c r="AGS14" s="201"/>
      <c r="AGT14" s="82"/>
      <c r="AGU14" s="82"/>
      <c r="AGV14" s="199" t="s">
        <v>49</v>
      </c>
      <c r="AGW14" s="199"/>
      <c r="AGX14" s="199"/>
      <c r="AGY14" s="199"/>
      <c r="AGZ14" s="102"/>
      <c r="AHA14" s="102"/>
      <c r="AHB14" s="201" t="s">
        <v>50</v>
      </c>
      <c r="AHC14" s="201"/>
      <c r="AHD14" s="201"/>
      <c r="AHE14" s="201"/>
      <c r="AHF14" s="82"/>
      <c r="AHG14" s="82"/>
      <c r="AHH14" s="199" t="s">
        <v>51</v>
      </c>
      <c r="AHI14" s="199"/>
      <c r="AHJ14" s="199"/>
      <c r="AHK14" s="199"/>
      <c r="AHL14" s="102"/>
      <c r="AHM14" s="102"/>
      <c r="AHN14" s="201" t="s">
        <v>52</v>
      </c>
      <c r="AHO14" s="201"/>
      <c r="AHP14" s="201"/>
      <c r="AHQ14" s="201"/>
      <c r="AHR14" s="82"/>
      <c r="AHS14" s="82"/>
      <c r="AHT14" s="82"/>
      <c r="AHU14" s="83"/>
      <c r="AHV14" s="81"/>
      <c r="AHW14" s="82"/>
      <c r="AHX14" s="82"/>
      <c r="AHY14" s="82"/>
      <c r="AHZ14" s="201" t="s">
        <v>44</v>
      </c>
      <c r="AIA14" s="201"/>
      <c r="AIB14" s="201"/>
      <c r="AIC14" s="201"/>
      <c r="AID14" s="82"/>
      <c r="AIE14" s="82"/>
      <c r="AIF14" s="199" t="s">
        <v>45</v>
      </c>
      <c r="AIG14" s="199"/>
      <c r="AIH14" s="199"/>
      <c r="AII14" s="199"/>
      <c r="AIJ14" s="102"/>
      <c r="AIK14" s="102"/>
      <c r="AIL14" s="201" t="s">
        <v>46</v>
      </c>
      <c r="AIM14" s="201"/>
      <c r="AIN14" s="201"/>
      <c r="AIO14" s="201"/>
      <c r="AIP14" s="82"/>
      <c r="AIQ14" s="82"/>
      <c r="AIR14" s="199" t="s">
        <v>47</v>
      </c>
      <c r="AIS14" s="199"/>
      <c r="AIT14" s="199"/>
      <c r="AIU14" s="199"/>
      <c r="AIV14" s="102"/>
      <c r="AIW14" s="102"/>
      <c r="AIX14" s="201" t="s">
        <v>48</v>
      </c>
      <c r="AIY14" s="201"/>
      <c r="AIZ14" s="201"/>
      <c r="AJA14" s="201"/>
      <c r="AJB14" s="82"/>
      <c r="AJC14" s="82"/>
      <c r="AJD14" s="199" t="s">
        <v>49</v>
      </c>
      <c r="AJE14" s="199"/>
      <c r="AJF14" s="199"/>
      <c r="AJG14" s="199"/>
      <c r="AJH14" s="102"/>
      <c r="AJI14" s="102"/>
      <c r="AJJ14" s="201" t="s">
        <v>50</v>
      </c>
      <c r="AJK14" s="201"/>
      <c r="AJL14" s="201"/>
      <c r="AJM14" s="201"/>
      <c r="AJN14" s="82"/>
      <c r="AJO14" s="82"/>
      <c r="AJP14" s="199" t="s">
        <v>51</v>
      </c>
      <c r="AJQ14" s="199"/>
      <c r="AJR14" s="199"/>
      <c r="AJS14" s="199"/>
      <c r="AJT14" s="102"/>
      <c r="AJU14" s="102"/>
      <c r="AJV14" s="201" t="s">
        <v>52</v>
      </c>
      <c r="AJW14" s="201"/>
      <c r="AJX14" s="201"/>
      <c r="AJY14" s="201"/>
      <c r="AJZ14" s="82"/>
      <c r="AKA14" s="82"/>
      <c r="AKB14" s="82"/>
      <c r="AKC14" s="83"/>
      <c r="AKD14" s="81"/>
      <c r="AKE14" s="82"/>
      <c r="AKF14" s="82"/>
      <c r="AKG14" s="82"/>
      <c r="AKH14" s="201" t="s">
        <v>44</v>
      </c>
      <c r="AKI14" s="201"/>
      <c r="AKJ14" s="201"/>
      <c r="AKK14" s="201"/>
      <c r="AKL14" s="82"/>
      <c r="AKM14" s="82"/>
      <c r="AKN14" s="199" t="s">
        <v>45</v>
      </c>
      <c r="AKO14" s="199"/>
      <c r="AKP14" s="199"/>
      <c r="AKQ14" s="199"/>
      <c r="AKR14" s="102"/>
      <c r="AKS14" s="102"/>
      <c r="AKT14" s="201" t="s">
        <v>46</v>
      </c>
      <c r="AKU14" s="201"/>
      <c r="AKV14" s="201"/>
      <c r="AKW14" s="201"/>
      <c r="AKX14" s="82"/>
      <c r="AKY14" s="82"/>
      <c r="AKZ14" s="199" t="s">
        <v>47</v>
      </c>
      <c r="ALA14" s="199"/>
      <c r="ALB14" s="199"/>
      <c r="ALC14" s="199"/>
      <c r="ALD14" s="102"/>
      <c r="ALE14" s="102"/>
      <c r="ALF14" s="201" t="s">
        <v>48</v>
      </c>
      <c r="ALG14" s="201"/>
      <c r="ALH14" s="201"/>
      <c r="ALI14" s="201"/>
      <c r="ALJ14" s="82"/>
      <c r="ALK14" s="82"/>
      <c r="ALL14" s="199" t="s">
        <v>49</v>
      </c>
      <c r="ALM14" s="199"/>
      <c r="ALN14" s="199"/>
      <c r="ALO14" s="199"/>
      <c r="ALP14" s="102"/>
      <c r="ALQ14" s="102"/>
      <c r="ALR14" s="201" t="s">
        <v>50</v>
      </c>
      <c r="ALS14" s="201"/>
      <c r="ALT14" s="201"/>
      <c r="ALU14" s="201"/>
      <c r="ALV14" s="82"/>
      <c r="ALW14" s="82"/>
      <c r="ALX14" s="199" t="s">
        <v>51</v>
      </c>
      <c r="ALY14" s="199"/>
      <c r="ALZ14" s="199"/>
      <c r="AMA14" s="199"/>
      <c r="AMB14" s="102"/>
      <c r="AMC14" s="102"/>
      <c r="AMD14" s="201" t="s">
        <v>52</v>
      </c>
      <c r="AME14" s="201"/>
      <c r="AMF14" s="201"/>
      <c r="AMG14" s="201"/>
      <c r="AMH14" s="82"/>
      <c r="AMI14" s="82"/>
      <c r="AMJ14" s="82"/>
      <c r="AMK14" s="83"/>
      <c r="AML14" s="81"/>
      <c r="AMM14" s="82"/>
      <c r="AMN14" s="82"/>
      <c r="AMO14" s="82"/>
      <c r="AMP14" s="201" t="s">
        <v>44</v>
      </c>
      <c r="AMQ14" s="201"/>
      <c r="AMR14" s="201"/>
      <c r="AMS14" s="201"/>
      <c r="AMT14" s="82"/>
      <c r="AMU14" s="82"/>
      <c r="AMV14" s="199" t="s">
        <v>45</v>
      </c>
      <c r="AMW14" s="199"/>
      <c r="AMX14" s="199"/>
      <c r="AMY14" s="199"/>
      <c r="AMZ14" s="102"/>
      <c r="ANA14" s="102"/>
      <c r="ANB14" s="201" t="s">
        <v>46</v>
      </c>
      <c r="ANC14" s="201"/>
      <c r="AND14" s="201"/>
      <c r="ANE14" s="201"/>
      <c r="ANF14" s="82"/>
      <c r="ANG14" s="82"/>
      <c r="ANH14" s="199" t="s">
        <v>47</v>
      </c>
      <c r="ANI14" s="199"/>
      <c r="ANJ14" s="199"/>
      <c r="ANK14" s="199"/>
      <c r="ANL14" s="102"/>
      <c r="ANM14" s="102"/>
      <c r="ANN14" s="201" t="s">
        <v>48</v>
      </c>
      <c r="ANO14" s="201"/>
      <c r="ANP14" s="201"/>
      <c r="ANQ14" s="201"/>
      <c r="ANR14" s="82"/>
      <c r="ANS14" s="82"/>
      <c r="ANT14" s="199" t="s">
        <v>49</v>
      </c>
      <c r="ANU14" s="199"/>
      <c r="ANV14" s="199"/>
      <c r="ANW14" s="199"/>
      <c r="ANX14" s="102"/>
      <c r="ANY14" s="102"/>
      <c r="ANZ14" s="201" t="s">
        <v>50</v>
      </c>
      <c r="AOA14" s="201"/>
      <c r="AOB14" s="201"/>
      <c r="AOC14" s="201"/>
      <c r="AOD14" s="82"/>
      <c r="AOE14" s="82"/>
      <c r="AOF14" s="199" t="s">
        <v>51</v>
      </c>
      <c r="AOG14" s="199"/>
      <c r="AOH14" s="199"/>
      <c r="AOI14" s="199"/>
      <c r="AOJ14" s="102"/>
      <c r="AOK14" s="102"/>
      <c r="AOL14" s="201" t="s">
        <v>52</v>
      </c>
      <c r="AOM14" s="201"/>
      <c r="AON14" s="201"/>
      <c r="AOO14" s="201"/>
      <c r="AOP14" s="82"/>
      <c r="AOQ14" s="82"/>
      <c r="AOR14" s="82"/>
      <c r="AOS14" s="83"/>
      <c r="AOT14" s="81"/>
      <c r="AOU14" s="82"/>
      <c r="AOV14" s="82"/>
      <c r="AOW14" s="82"/>
      <c r="AOX14" s="201" t="s">
        <v>44</v>
      </c>
      <c r="AOY14" s="201"/>
      <c r="AOZ14" s="201"/>
      <c r="APA14" s="201"/>
      <c r="APB14" s="82"/>
      <c r="APC14" s="82"/>
      <c r="APD14" s="199" t="s">
        <v>45</v>
      </c>
      <c r="APE14" s="199"/>
      <c r="APF14" s="199"/>
      <c r="APG14" s="199"/>
      <c r="APH14" s="102"/>
      <c r="API14" s="102"/>
      <c r="APJ14" s="201" t="s">
        <v>46</v>
      </c>
      <c r="APK14" s="201"/>
      <c r="APL14" s="201"/>
      <c r="APM14" s="201"/>
      <c r="APN14" s="82"/>
      <c r="APO14" s="82"/>
      <c r="APP14" s="199" t="s">
        <v>47</v>
      </c>
      <c r="APQ14" s="199"/>
      <c r="APR14" s="199"/>
      <c r="APS14" s="199"/>
      <c r="APT14" s="102"/>
      <c r="APU14" s="102"/>
      <c r="APV14" s="201" t="s">
        <v>48</v>
      </c>
      <c r="APW14" s="201"/>
      <c r="APX14" s="201"/>
      <c r="APY14" s="201"/>
      <c r="APZ14" s="82"/>
      <c r="AQA14" s="82"/>
      <c r="AQB14" s="199" t="s">
        <v>49</v>
      </c>
      <c r="AQC14" s="199"/>
      <c r="AQD14" s="199"/>
      <c r="AQE14" s="199"/>
      <c r="AQF14" s="102"/>
      <c r="AQG14" s="102"/>
      <c r="AQH14" s="201" t="s">
        <v>50</v>
      </c>
      <c r="AQI14" s="201"/>
      <c r="AQJ14" s="201"/>
      <c r="AQK14" s="201"/>
      <c r="AQL14" s="82"/>
      <c r="AQM14" s="82"/>
      <c r="AQN14" s="199" t="s">
        <v>51</v>
      </c>
      <c r="AQO14" s="199"/>
      <c r="AQP14" s="199"/>
      <c r="AQQ14" s="199"/>
      <c r="AQR14" s="102"/>
      <c r="AQS14" s="102"/>
      <c r="AQT14" s="201" t="s">
        <v>52</v>
      </c>
      <c r="AQU14" s="201"/>
      <c r="AQV14" s="201"/>
      <c r="AQW14" s="201"/>
      <c r="AQX14" s="82"/>
      <c r="AQY14" s="82"/>
      <c r="AQZ14" s="82"/>
      <c r="ARA14" s="83"/>
      <c r="ARB14" s="81"/>
      <c r="ARC14" s="82"/>
      <c r="ARD14" s="82"/>
      <c r="ARE14" s="82"/>
      <c r="ARF14" s="201" t="s">
        <v>44</v>
      </c>
      <c r="ARG14" s="201"/>
      <c r="ARH14" s="201"/>
      <c r="ARI14" s="201"/>
      <c r="ARJ14" s="82"/>
      <c r="ARK14" s="82"/>
      <c r="ARL14" s="199" t="s">
        <v>45</v>
      </c>
      <c r="ARM14" s="199"/>
      <c r="ARN14" s="199"/>
      <c r="ARO14" s="199"/>
      <c r="ARP14" s="102"/>
      <c r="ARQ14" s="102"/>
      <c r="ARR14" s="201" t="s">
        <v>46</v>
      </c>
      <c r="ARS14" s="201"/>
      <c r="ART14" s="201"/>
      <c r="ARU14" s="201"/>
      <c r="ARV14" s="82"/>
      <c r="ARW14" s="82"/>
      <c r="ARX14" s="199" t="s">
        <v>47</v>
      </c>
      <c r="ARY14" s="199"/>
      <c r="ARZ14" s="199"/>
      <c r="ASA14" s="199"/>
      <c r="ASB14" s="102"/>
      <c r="ASC14" s="102"/>
      <c r="ASD14" s="201" t="s">
        <v>48</v>
      </c>
      <c r="ASE14" s="201"/>
      <c r="ASF14" s="201"/>
      <c r="ASG14" s="201"/>
      <c r="ASH14" s="82"/>
      <c r="ASI14" s="82"/>
      <c r="ASJ14" s="199" t="s">
        <v>49</v>
      </c>
      <c r="ASK14" s="199"/>
      <c r="ASL14" s="199"/>
      <c r="ASM14" s="199"/>
      <c r="ASN14" s="102"/>
      <c r="ASO14" s="102"/>
      <c r="ASP14" s="201" t="s">
        <v>50</v>
      </c>
      <c r="ASQ14" s="201"/>
      <c r="ASR14" s="201"/>
      <c r="ASS14" s="201"/>
      <c r="AST14" s="82"/>
      <c r="ASU14" s="82"/>
      <c r="ASV14" s="199" t="s">
        <v>51</v>
      </c>
      <c r="ASW14" s="199"/>
      <c r="ASX14" s="199"/>
      <c r="ASY14" s="199"/>
      <c r="ASZ14" s="102"/>
      <c r="ATA14" s="102"/>
      <c r="ATB14" s="201" t="s">
        <v>52</v>
      </c>
      <c r="ATC14" s="201"/>
      <c r="ATD14" s="201"/>
      <c r="ATE14" s="201"/>
      <c r="ATF14" s="82"/>
      <c r="ATG14" s="82"/>
      <c r="ATH14" s="82"/>
      <c r="ATI14" s="83"/>
      <c r="ATJ14" s="81"/>
      <c r="ATK14" s="82"/>
      <c r="ATL14" s="82"/>
      <c r="ATM14" s="82"/>
      <c r="ATN14" s="201" t="s">
        <v>44</v>
      </c>
      <c r="ATO14" s="201"/>
      <c r="ATP14" s="201"/>
      <c r="ATQ14" s="201"/>
      <c r="ATR14" s="82"/>
      <c r="ATS14" s="82"/>
      <c r="ATT14" s="199" t="s">
        <v>45</v>
      </c>
      <c r="ATU14" s="199"/>
      <c r="ATV14" s="199"/>
      <c r="ATW14" s="199"/>
      <c r="ATX14" s="102"/>
      <c r="ATY14" s="102"/>
      <c r="ATZ14" s="201" t="s">
        <v>46</v>
      </c>
      <c r="AUA14" s="201"/>
      <c r="AUB14" s="201"/>
      <c r="AUC14" s="201"/>
      <c r="AUD14" s="82"/>
      <c r="AUE14" s="82"/>
      <c r="AUF14" s="199" t="s">
        <v>47</v>
      </c>
      <c r="AUG14" s="199"/>
      <c r="AUH14" s="199"/>
      <c r="AUI14" s="199"/>
      <c r="AUJ14" s="102"/>
      <c r="AUK14" s="102"/>
      <c r="AUL14" s="201" t="s">
        <v>48</v>
      </c>
      <c r="AUM14" s="201"/>
      <c r="AUN14" s="201"/>
      <c r="AUO14" s="201"/>
      <c r="AUP14" s="82"/>
      <c r="AUQ14" s="82"/>
      <c r="AUR14" s="199" t="s">
        <v>49</v>
      </c>
      <c r="AUS14" s="199"/>
      <c r="AUT14" s="199"/>
      <c r="AUU14" s="199"/>
      <c r="AUV14" s="102"/>
      <c r="AUW14" s="102"/>
      <c r="AUX14" s="201" t="s">
        <v>50</v>
      </c>
      <c r="AUY14" s="201"/>
      <c r="AUZ14" s="201"/>
      <c r="AVA14" s="201"/>
      <c r="AVB14" s="82"/>
      <c r="AVC14" s="82"/>
      <c r="AVD14" s="199" t="s">
        <v>51</v>
      </c>
      <c r="AVE14" s="199"/>
      <c r="AVF14" s="199"/>
      <c r="AVG14" s="199"/>
      <c r="AVH14" s="102"/>
      <c r="AVI14" s="102"/>
      <c r="AVJ14" s="201" t="s">
        <v>52</v>
      </c>
      <c r="AVK14" s="201"/>
      <c r="AVL14" s="201"/>
      <c r="AVM14" s="201"/>
      <c r="AVN14" s="82"/>
      <c r="AVO14" s="82"/>
      <c r="AVP14" s="82"/>
      <c r="AVQ14" s="83"/>
      <c r="AVR14" s="81"/>
      <c r="AVS14" s="82"/>
      <c r="AVT14" s="82"/>
      <c r="AVU14" s="82"/>
      <c r="AVV14" s="201" t="s">
        <v>44</v>
      </c>
      <c r="AVW14" s="201"/>
      <c r="AVX14" s="201"/>
      <c r="AVY14" s="201"/>
      <c r="AVZ14" s="82"/>
      <c r="AWA14" s="82"/>
      <c r="AWB14" s="199" t="s">
        <v>45</v>
      </c>
      <c r="AWC14" s="199"/>
      <c r="AWD14" s="199"/>
      <c r="AWE14" s="199"/>
      <c r="AWF14" s="102"/>
      <c r="AWG14" s="102"/>
      <c r="AWH14" s="201" t="s">
        <v>46</v>
      </c>
      <c r="AWI14" s="201"/>
      <c r="AWJ14" s="201"/>
      <c r="AWK14" s="201"/>
      <c r="AWL14" s="82"/>
      <c r="AWM14" s="82"/>
      <c r="AWN14" s="199" t="s">
        <v>47</v>
      </c>
      <c r="AWO14" s="199"/>
      <c r="AWP14" s="199"/>
      <c r="AWQ14" s="199"/>
      <c r="AWR14" s="102"/>
      <c r="AWS14" s="102"/>
      <c r="AWT14" s="201" t="s">
        <v>48</v>
      </c>
      <c r="AWU14" s="201"/>
      <c r="AWV14" s="201"/>
      <c r="AWW14" s="201"/>
      <c r="AWX14" s="82"/>
      <c r="AWY14" s="82"/>
      <c r="AWZ14" s="199" t="s">
        <v>49</v>
      </c>
      <c r="AXA14" s="199"/>
      <c r="AXB14" s="199"/>
      <c r="AXC14" s="199"/>
      <c r="AXD14" s="102"/>
      <c r="AXE14" s="102"/>
      <c r="AXF14" s="201" t="s">
        <v>50</v>
      </c>
      <c r="AXG14" s="201"/>
      <c r="AXH14" s="201"/>
      <c r="AXI14" s="201"/>
      <c r="AXJ14" s="82"/>
      <c r="AXK14" s="82"/>
      <c r="AXL14" s="199" t="s">
        <v>51</v>
      </c>
      <c r="AXM14" s="199"/>
      <c r="AXN14" s="199"/>
      <c r="AXO14" s="199"/>
      <c r="AXP14" s="102"/>
      <c r="AXQ14" s="102"/>
      <c r="AXR14" s="201" t="s">
        <v>52</v>
      </c>
      <c r="AXS14" s="201"/>
      <c r="AXT14" s="201"/>
      <c r="AXU14" s="201"/>
      <c r="AXV14" s="82"/>
      <c r="AXW14" s="82"/>
      <c r="AXX14" s="82"/>
      <c r="AXY14" s="83"/>
      <c r="AXZ14" s="81"/>
      <c r="AYA14" s="82"/>
      <c r="AYB14" s="82"/>
      <c r="AYC14" s="82"/>
      <c r="AYD14" s="201" t="s">
        <v>44</v>
      </c>
      <c r="AYE14" s="201"/>
      <c r="AYF14" s="201"/>
      <c r="AYG14" s="201"/>
      <c r="AYH14" s="82"/>
      <c r="AYI14" s="82"/>
      <c r="AYJ14" s="199" t="s">
        <v>45</v>
      </c>
      <c r="AYK14" s="199"/>
      <c r="AYL14" s="199"/>
      <c r="AYM14" s="199"/>
      <c r="AYN14" s="102"/>
      <c r="AYO14" s="102"/>
      <c r="AYP14" s="201" t="s">
        <v>46</v>
      </c>
      <c r="AYQ14" s="201"/>
      <c r="AYR14" s="201"/>
      <c r="AYS14" s="201"/>
      <c r="AYT14" s="82"/>
      <c r="AYU14" s="82"/>
      <c r="AYV14" s="199" t="s">
        <v>47</v>
      </c>
      <c r="AYW14" s="199"/>
      <c r="AYX14" s="199"/>
      <c r="AYY14" s="199"/>
      <c r="AYZ14" s="102"/>
      <c r="AZA14" s="102"/>
      <c r="AZB14" s="201" t="s">
        <v>48</v>
      </c>
      <c r="AZC14" s="201"/>
      <c r="AZD14" s="201"/>
      <c r="AZE14" s="201"/>
      <c r="AZF14" s="82"/>
      <c r="AZG14" s="82"/>
      <c r="AZH14" s="199" t="s">
        <v>49</v>
      </c>
      <c r="AZI14" s="199"/>
      <c r="AZJ14" s="199"/>
      <c r="AZK14" s="199"/>
      <c r="AZL14" s="102"/>
      <c r="AZM14" s="102"/>
      <c r="AZN14" s="201" t="s">
        <v>50</v>
      </c>
      <c r="AZO14" s="201"/>
      <c r="AZP14" s="201"/>
      <c r="AZQ14" s="201"/>
      <c r="AZR14" s="82"/>
      <c r="AZS14" s="82"/>
      <c r="AZT14" s="199" t="s">
        <v>51</v>
      </c>
      <c r="AZU14" s="199"/>
      <c r="AZV14" s="199"/>
      <c r="AZW14" s="199"/>
      <c r="AZX14" s="102"/>
      <c r="AZY14" s="102"/>
      <c r="AZZ14" s="201" t="s">
        <v>52</v>
      </c>
      <c r="BAA14" s="201"/>
      <c r="BAB14" s="201"/>
      <c r="BAC14" s="201"/>
      <c r="BAD14" s="82"/>
      <c r="BAE14" s="82"/>
      <c r="BAF14" s="82"/>
      <c r="BAG14" s="83"/>
      <c r="BAH14" s="81"/>
      <c r="BAI14" s="82"/>
      <c r="BAJ14" s="82"/>
      <c r="BAK14" s="82"/>
      <c r="BAL14" s="201" t="s">
        <v>44</v>
      </c>
      <c r="BAM14" s="201"/>
      <c r="BAN14" s="201"/>
      <c r="BAO14" s="201"/>
      <c r="BAP14" s="82"/>
      <c r="BAQ14" s="82"/>
      <c r="BAR14" s="199" t="s">
        <v>45</v>
      </c>
      <c r="BAS14" s="199"/>
      <c r="BAT14" s="199"/>
      <c r="BAU14" s="199"/>
      <c r="BAV14" s="102"/>
      <c r="BAW14" s="102"/>
      <c r="BAX14" s="201" t="s">
        <v>46</v>
      </c>
      <c r="BAY14" s="201"/>
      <c r="BAZ14" s="201"/>
      <c r="BBA14" s="201"/>
      <c r="BBB14" s="82"/>
      <c r="BBC14" s="82"/>
      <c r="BBD14" s="199" t="s">
        <v>47</v>
      </c>
      <c r="BBE14" s="199"/>
      <c r="BBF14" s="199"/>
      <c r="BBG14" s="199"/>
      <c r="BBH14" s="102"/>
      <c r="BBI14" s="102"/>
      <c r="BBJ14" s="201" t="s">
        <v>48</v>
      </c>
      <c r="BBK14" s="201"/>
      <c r="BBL14" s="201"/>
      <c r="BBM14" s="201"/>
      <c r="BBN14" s="82"/>
      <c r="BBO14" s="82"/>
      <c r="BBP14" s="199" t="s">
        <v>49</v>
      </c>
      <c r="BBQ14" s="199"/>
      <c r="BBR14" s="199"/>
      <c r="BBS14" s="199"/>
      <c r="BBT14" s="102"/>
      <c r="BBU14" s="102"/>
      <c r="BBV14" s="201" t="s">
        <v>50</v>
      </c>
      <c r="BBW14" s="201"/>
      <c r="BBX14" s="201"/>
      <c r="BBY14" s="201"/>
      <c r="BBZ14" s="82"/>
      <c r="BCA14" s="82"/>
      <c r="BCB14" s="199" t="s">
        <v>51</v>
      </c>
      <c r="BCC14" s="199"/>
      <c r="BCD14" s="199"/>
      <c r="BCE14" s="199"/>
      <c r="BCF14" s="102"/>
      <c r="BCG14" s="102"/>
      <c r="BCH14" s="201" t="s">
        <v>52</v>
      </c>
      <c r="BCI14" s="201"/>
      <c r="BCJ14" s="201"/>
      <c r="BCK14" s="201"/>
      <c r="BCL14" s="82"/>
      <c r="BCM14" s="82"/>
      <c r="BCN14" s="82"/>
      <c r="BCO14" s="83"/>
      <c r="BCP14" s="81"/>
      <c r="BCQ14" s="82"/>
      <c r="BCR14" s="82"/>
      <c r="BCS14" s="82"/>
      <c r="BCT14" s="201" t="s">
        <v>44</v>
      </c>
      <c r="BCU14" s="201"/>
      <c r="BCV14" s="201"/>
      <c r="BCW14" s="201"/>
      <c r="BCX14" s="82"/>
      <c r="BCY14" s="82"/>
      <c r="BCZ14" s="199" t="s">
        <v>45</v>
      </c>
      <c r="BDA14" s="199"/>
      <c r="BDB14" s="199"/>
      <c r="BDC14" s="199"/>
      <c r="BDD14" s="102"/>
      <c r="BDE14" s="102"/>
      <c r="BDF14" s="201" t="s">
        <v>46</v>
      </c>
      <c r="BDG14" s="201"/>
      <c r="BDH14" s="201"/>
      <c r="BDI14" s="201"/>
      <c r="BDJ14" s="82"/>
      <c r="BDK14" s="82"/>
      <c r="BDL14" s="199" t="s">
        <v>47</v>
      </c>
      <c r="BDM14" s="199"/>
      <c r="BDN14" s="199"/>
      <c r="BDO14" s="199"/>
      <c r="BDP14" s="102"/>
      <c r="BDQ14" s="102"/>
      <c r="BDR14" s="201" t="s">
        <v>48</v>
      </c>
      <c r="BDS14" s="201"/>
      <c r="BDT14" s="201"/>
      <c r="BDU14" s="201"/>
      <c r="BDV14" s="82"/>
      <c r="BDW14" s="82"/>
      <c r="BDX14" s="199" t="s">
        <v>49</v>
      </c>
      <c r="BDY14" s="199"/>
      <c r="BDZ14" s="199"/>
      <c r="BEA14" s="199"/>
      <c r="BEB14" s="102"/>
      <c r="BEC14" s="102"/>
      <c r="BED14" s="201" t="s">
        <v>50</v>
      </c>
      <c r="BEE14" s="201"/>
      <c r="BEF14" s="201"/>
      <c r="BEG14" s="201"/>
      <c r="BEH14" s="82"/>
      <c r="BEI14" s="82"/>
      <c r="BEJ14" s="199" t="s">
        <v>51</v>
      </c>
      <c r="BEK14" s="199"/>
      <c r="BEL14" s="199"/>
      <c r="BEM14" s="199"/>
      <c r="BEN14" s="102"/>
      <c r="BEO14" s="102"/>
      <c r="BEP14" s="201" t="s">
        <v>52</v>
      </c>
      <c r="BEQ14" s="201"/>
      <c r="BER14" s="201"/>
      <c r="BES14" s="201"/>
      <c r="BET14" s="82"/>
      <c r="BEU14" s="82"/>
      <c r="BEV14" s="82"/>
      <c r="BEW14" s="83"/>
      <c r="BEX14" s="81"/>
      <c r="BEY14" s="82"/>
      <c r="BEZ14" s="82"/>
      <c r="BFA14" s="82"/>
      <c r="BFB14" s="201" t="s">
        <v>44</v>
      </c>
      <c r="BFC14" s="201"/>
      <c r="BFD14" s="201"/>
      <c r="BFE14" s="201"/>
      <c r="BFF14" s="82"/>
      <c r="BFG14" s="82"/>
      <c r="BFH14" s="199" t="s">
        <v>45</v>
      </c>
      <c r="BFI14" s="199"/>
      <c r="BFJ14" s="199"/>
      <c r="BFK14" s="199"/>
      <c r="BFL14" s="102"/>
      <c r="BFM14" s="102"/>
      <c r="BFN14" s="201" t="s">
        <v>46</v>
      </c>
      <c r="BFO14" s="201"/>
      <c r="BFP14" s="201"/>
      <c r="BFQ14" s="201"/>
      <c r="BFR14" s="82"/>
      <c r="BFS14" s="82"/>
      <c r="BFT14" s="199" t="s">
        <v>47</v>
      </c>
      <c r="BFU14" s="199"/>
      <c r="BFV14" s="199"/>
      <c r="BFW14" s="199"/>
      <c r="BFX14" s="102"/>
      <c r="BFY14" s="102"/>
      <c r="BFZ14" s="201" t="s">
        <v>48</v>
      </c>
      <c r="BGA14" s="201"/>
      <c r="BGB14" s="201"/>
      <c r="BGC14" s="201"/>
      <c r="BGD14" s="82"/>
      <c r="BGE14" s="82"/>
      <c r="BGF14" s="199" t="s">
        <v>49</v>
      </c>
      <c r="BGG14" s="199"/>
      <c r="BGH14" s="199"/>
      <c r="BGI14" s="199"/>
      <c r="BGJ14" s="102"/>
      <c r="BGK14" s="102"/>
      <c r="BGL14" s="201" t="s">
        <v>50</v>
      </c>
      <c r="BGM14" s="201"/>
      <c r="BGN14" s="201"/>
      <c r="BGO14" s="201"/>
      <c r="BGP14" s="82"/>
      <c r="BGQ14" s="82"/>
      <c r="BGR14" s="199" t="s">
        <v>51</v>
      </c>
      <c r="BGS14" s="199"/>
      <c r="BGT14" s="199"/>
      <c r="BGU14" s="199"/>
      <c r="BGV14" s="102"/>
      <c r="BGW14" s="102"/>
      <c r="BGX14" s="201" t="s">
        <v>52</v>
      </c>
      <c r="BGY14" s="201"/>
      <c r="BGZ14" s="201"/>
      <c r="BHA14" s="201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1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8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6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8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6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7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6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8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6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8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6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8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6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7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6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7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6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8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6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8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6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7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6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8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6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7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6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8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6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7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6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8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6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8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6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8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6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7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6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8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6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8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6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7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6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8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7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8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8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7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8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7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8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8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7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8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8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7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8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7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8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8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7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1" t="s">
        <v>59</v>
      </c>
      <c r="D95" s="222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3"/>
      <c r="D96" s="224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7" t="s">
        <v>60</v>
      </c>
      <c r="D97" s="218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9"/>
      <c r="D98" s="220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28"/>
  <sheetViews>
    <sheetView showGridLines="0" tabSelected="1" zoomScaleNormal="100" zoomScaleSheetLayoutView="98" workbookViewId="0">
      <pane ySplit="1" topLeftCell="A5" activePane="bottomLeft" state="frozen"/>
      <selection pane="bottomLeft" activeCell="E21" sqref="E2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35.4257812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13</v>
      </c>
      <c r="D2" s="137"/>
      <c r="E2" s="130" t="s">
        <v>62</v>
      </c>
      <c r="F2" s="131">
        <v>45791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5" t="s">
        <v>66</v>
      </c>
      <c r="G3" s="246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37"/>
      <c r="G10" s="238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39"/>
      <c r="G11" s="240"/>
      <c r="H11" s="152"/>
    </row>
    <row r="12" spans="2:8" s="43" customFormat="1" ht="15" thickBot="1" x14ac:dyDescent="0.35">
      <c r="B12" s="135" t="s">
        <v>68</v>
      </c>
      <c r="C12" s="66">
        <f>SUM(C4:C11)</f>
        <v>0</v>
      </c>
      <c r="D12" s="135" t="str">
        <f xml:space="preserve"> setValueToTime(C12)</f>
        <v/>
      </c>
      <c r="E12" s="96"/>
      <c r="F12" s="243"/>
      <c r="G12" s="24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12</v>
      </c>
      <c r="D14" s="137"/>
      <c r="E14" s="130" t="s">
        <v>62</v>
      </c>
      <c r="F14" s="131">
        <v>45791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5" t="s">
        <v>66</v>
      </c>
      <c r="G15" s="246"/>
      <c r="H15" s="151"/>
    </row>
    <row r="16" spans="2:8" s="43" customFormat="1" ht="27" x14ac:dyDescent="0.3">
      <c r="B16" s="40" t="s">
        <v>106</v>
      </c>
      <c r="C16" s="41">
        <v>1</v>
      </c>
      <c r="D16" s="125" t="str">
        <f xml:space="preserve"> IF(C16="","",setValueToTime(C16))</f>
        <v xml:space="preserve"> 5 min</v>
      </c>
      <c r="E16" s="42" t="s">
        <v>107</v>
      </c>
      <c r="F16" s="235"/>
      <c r="G16" s="236"/>
      <c r="H16" s="152"/>
    </row>
    <row r="17" spans="2:8" s="43" customFormat="1" ht="27" x14ac:dyDescent="0.3">
      <c r="B17" s="45" t="s">
        <v>74</v>
      </c>
      <c r="C17" s="45">
        <v>16</v>
      </c>
      <c r="D17" s="127" t="str">
        <f t="shared" ref="D17:D18" si="1" xml:space="preserve"> IF(C17="","",setValueToTime(C17))</f>
        <v>1h 20 min</v>
      </c>
      <c r="E17" s="46" t="s">
        <v>134</v>
      </c>
      <c r="F17" s="237"/>
      <c r="G17" s="238"/>
      <c r="H17" s="152"/>
    </row>
    <row r="18" spans="2:8" s="43" customFormat="1" ht="27" x14ac:dyDescent="0.3">
      <c r="B18" s="45" t="s">
        <v>77</v>
      </c>
      <c r="C18" s="45">
        <v>31</v>
      </c>
      <c r="D18" s="127" t="str">
        <f t="shared" si="1"/>
        <v>2h 35 min</v>
      </c>
      <c r="E18" s="46" t="s">
        <v>135</v>
      </c>
      <c r="F18" s="237"/>
      <c r="G18" s="238"/>
      <c r="H18" s="152"/>
    </row>
    <row r="19" spans="2:8" s="43" customFormat="1" x14ac:dyDescent="0.3">
      <c r="B19" s="44"/>
      <c r="C19" s="45"/>
      <c r="D19" s="126" t="str">
        <f t="shared" ref="D17:D23" si="2" xml:space="preserve"> IF(C19="","",setValueToTime(C19))</f>
        <v/>
      </c>
      <c r="E19" s="46"/>
      <c r="F19" s="237"/>
      <c r="G19" s="238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37"/>
      <c r="G20" s="238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 t="s">
        <v>136</v>
      </c>
      <c r="F21" s="237"/>
      <c r="G21" s="238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37"/>
      <c r="G22" s="238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39"/>
      <c r="G23" s="240"/>
      <c r="H23" s="152"/>
    </row>
    <row r="24" spans="2:8" s="43" customFormat="1" ht="15" thickBot="1" x14ac:dyDescent="0.35">
      <c r="B24" s="135" t="s">
        <v>68</v>
      </c>
      <c r="C24" s="66">
        <f>SUM(C16:C23)</f>
        <v>48</v>
      </c>
      <c r="D24" s="135" t="str">
        <f xml:space="preserve"> setValueToTime(C24)</f>
        <v>4h</v>
      </c>
      <c r="E24" s="96"/>
      <c r="F24" s="243"/>
      <c r="G24" s="24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11</v>
      </c>
      <c r="D26" s="137"/>
      <c r="E26" s="130" t="s">
        <v>62</v>
      </c>
      <c r="F26" s="131">
        <v>45789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5" t="s">
        <v>66</v>
      </c>
      <c r="G27" s="246"/>
      <c r="H27" s="151"/>
    </row>
    <row r="28" spans="2:8" s="43" customFormat="1" ht="27" x14ac:dyDescent="0.3">
      <c r="B28" s="45" t="s">
        <v>74</v>
      </c>
      <c r="C28" s="45">
        <v>8</v>
      </c>
      <c r="D28" s="127" t="str">
        <f t="shared" ref="D28:D29" si="3" xml:space="preserve"> IF(C28="","",setValueToTime(C28))</f>
        <v xml:space="preserve"> 40 min</v>
      </c>
      <c r="E28" s="46" t="s">
        <v>134</v>
      </c>
      <c r="F28" s="235"/>
      <c r="G28" s="236"/>
      <c r="H28" s="152"/>
    </row>
    <row r="29" spans="2:8" s="43" customFormat="1" ht="27" x14ac:dyDescent="0.3">
      <c r="B29" s="45" t="s">
        <v>77</v>
      </c>
      <c r="C29" s="45">
        <v>21</v>
      </c>
      <c r="D29" s="127" t="str">
        <f t="shared" si="3"/>
        <v>1h 45 min</v>
      </c>
      <c r="E29" s="46" t="s">
        <v>133</v>
      </c>
      <c r="F29" s="237"/>
      <c r="G29" s="238"/>
      <c r="H29" s="152"/>
    </row>
    <row r="30" spans="2:8" s="43" customFormat="1" x14ac:dyDescent="0.3">
      <c r="B30" s="44"/>
      <c r="C30" s="45"/>
      <c r="D30" s="126" t="str">
        <f t="shared" ref="D30:D35" si="4" xml:space="preserve"> IF(C30="","",setValueToTime(C30))</f>
        <v/>
      </c>
      <c r="E30" s="46"/>
      <c r="F30" s="237"/>
      <c r="G30" s="238"/>
      <c r="H30" s="152"/>
    </row>
    <row r="31" spans="2:8" s="43" customFormat="1" x14ac:dyDescent="0.3">
      <c r="B31" s="44"/>
      <c r="C31" s="45"/>
      <c r="D31" s="126" t="str">
        <f t="shared" si="4"/>
        <v/>
      </c>
      <c r="E31" s="46"/>
      <c r="F31" s="237"/>
      <c r="G31" s="238"/>
      <c r="H31" s="152"/>
    </row>
    <row r="32" spans="2:8" s="43" customFormat="1" x14ac:dyDescent="0.3">
      <c r="B32" s="45"/>
      <c r="C32" s="45"/>
      <c r="D32" s="127" t="str">
        <f t="shared" si="4"/>
        <v/>
      </c>
      <c r="E32" s="46"/>
      <c r="F32" s="237"/>
      <c r="G32" s="238"/>
      <c r="H32" s="152"/>
    </row>
    <row r="33" spans="2:8" s="43" customFormat="1" x14ac:dyDescent="0.3">
      <c r="B33" s="45"/>
      <c r="C33" s="45"/>
      <c r="D33" s="127" t="str">
        <f t="shared" si="4"/>
        <v/>
      </c>
      <c r="E33" s="46"/>
      <c r="F33" s="237"/>
      <c r="G33" s="238"/>
      <c r="H33" s="152"/>
    </row>
    <row r="34" spans="2:8" s="43" customFormat="1" x14ac:dyDescent="0.3">
      <c r="B34" s="45"/>
      <c r="C34" s="45"/>
      <c r="D34" s="127" t="str">
        <f t="shared" si="4"/>
        <v/>
      </c>
      <c r="E34" s="46"/>
      <c r="F34" s="237"/>
      <c r="G34" s="238"/>
      <c r="H34" s="152"/>
    </row>
    <row r="35" spans="2:8" s="43" customFormat="1" ht="15" thickBot="1" x14ac:dyDescent="0.35">
      <c r="B35" s="47"/>
      <c r="C35" s="47"/>
      <c r="D35" s="128" t="str">
        <f t="shared" si="4"/>
        <v/>
      </c>
      <c r="E35" s="48"/>
      <c r="F35" s="239"/>
      <c r="G35" s="240"/>
      <c r="H35" s="152"/>
    </row>
    <row r="36" spans="2:8" s="43" customFormat="1" ht="15" thickBot="1" x14ac:dyDescent="0.35">
      <c r="B36" s="135" t="s">
        <v>68</v>
      </c>
      <c r="C36" s="66">
        <f>SUM(C28:C35)</f>
        <v>29</v>
      </c>
      <c r="D36" s="135" t="str">
        <f xml:space="preserve"> setValueToTime(C36)</f>
        <v>2h 25 min</v>
      </c>
      <c r="E36" s="96"/>
      <c r="F36" s="243"/>
      <c r="G36" s="24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10</v>
      </c>
      <c r="D38" s="137"/>
      <c r="E38" s="130" t="s">
        <v>62</v>
      </c>
      <c r="F38" s="131">
        <v>45789</v>
      </c>
      <c r="G38" s="132" t="s">
        <v>80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5" t="s">
        <v>66</v>
      </c>
      <c r="G39" s="246"/>
      <c r="H39" s="151"/>
    </row>
    <row r="40" spans="2:8" s="43" customFormat="1" ht="27" x14ac:dyDescent="0.3">
      <c r="B40" s="40" t="s">
        <v>106</v>
      </c>
      <c r="C40" s="41">
        <v>1</v>
      </c>
      <c r="D40" s="125" t="str">
        <f xml:space="preserve"> IF(C40="","",setValueToTime(C40))</f>
        <v xml:space="preserve"> 5 min</v>
      </c>
      <c r="E40" s="42" t="s">
        <v>107</v>
      </c>
      <c r="F40" s="247"/>
      <c r="G40" s="248"/>
      <c r="H40" s="152"/>
    </row>
    <row r="41" spans="2:8" s="43" customFormat="1" ht="27.75" thickBot="1" x14ac:dyDescent="0.35">
      <c r="B41" s="44" t="s">
        <v>71</v>
      </c>
      <c r="C41" s="45">
        <v>3</v>
      </c>
      <c r="D41" s="126" t="str">
        <f t="shared" ref="D41:D47" si="5" xml:space="preserve"> IF(C41="","",setValueToTime(C41))</f>
        <v xml:space="preserve"> 15 min</v>
      </c>
      <c r="E41" s="46" t="s">
        <v>130</v>
      </c>
      <c r="F41" s="249"/>
      <c r="G41" s="242"/>
      <c r="H41" s="152"/>
    </row>
    <row r="42" spans="2:8" s="43" customFormat="1" x14ac:dyDescent="0.3">
      <c r="B42" s="44" t="s">
        <v>58</v>
      </c>
      <c r="C42" s="45">
        <v>4</v>
      </c>
      <c r="D42" s="126" t="str">
        <f t="shared" si="5"/>
        <v xml:space="preserve"> 20 min</v>
      </c>
      <c r="E42" s="46" t="s">
        <v>131</v>
      </c>
      <c r="F42" s="250" t="s">
        <v>114</v>
      </c>
      <c r="G42" s="248"/>
      <c r="H42" s="152"/>
    </row>
    <row r="43" spans="2:8" s="43" customFormat="1" ht="27" x14ac:dyDescent="0.3">
      <c r="B43" s="44" t="s">
        <v>73</v>
      </c>
      <c r="C43" s="45">
        <v>4</v>
      </c>
      <c r="D43" s="126" t="str">
        <f t="shared" si="5"/>
        <v xml:space="preserve"> 20 min</v>
      </c>
      <c r="E43" s="46" t="s">
        <v>132</v>
      </c>
      <c r="F43" s="241" t="s">
        <v>101</v>
      </c>
      <c r="G43" s="242"/>
      <c r="H43" s="152"/>
    </row>
    <row r="44" spans="2:8" s="43" customFormat="1" ht="27" x14ac:dyDescent="0.3">
      <c r="B44" s="45" t="s">
        <v>74</v>
      </c>
      <c r="C44" s="45">
        <v>10</v>
      </c>
      <c r="D44" s="127" t="str">
        <f t="shared" si="5"/>
        <v xml:space="preserve"> 50 min</v>
      </c>
      <c r="E44" s="46" t="s">
        <v>134</v>
      </c>
      <c r="F44" s="249"/>
      <c r="G44" s="242"/>
      <c r="H44" s="152"/>
    </row>
    <row r="45" spans="2:8" s="43" customFormat="1" ht="27" x14ac:dyDescent="0.3">
      <c r="B45" s="45" t="s">
        <v>77</v>
      </c>
      <c r="C45" s="45">
        <v>16</v>
      </c>
      <c r="D45" s="127" t="str">
        <f t="shared" si="5"/>
        <v>1h 20 min</v>
      </c>
      <c r="E45" s="46" t="s">
        <v>133</v>
      </c>
      <c r="F45" s="249"/>
      <c r="G45" s="242"/>
      <c r="H45" s="152"/>
    </row>
    <row r="46" spans="2:8" s="43" customFormat="1" x14ac:dyDescent="0.3">
      <c r="B46" s="45"/>
      <c r="C46" s="45"/>
      <c r="D46" s="127" t="str">
        <f t="shared" si="5"/>
        <v/>
      </c>
      <c r="E46" s="46"/>
      <c r="F46" s="249"/>
      <c r="G46" s="242"/>
      <c r="H46" s="152"/>
    </row>
    <row r="47" spans="2:8" s="43" customFormat="1" ht="15" thickBot="1" x14ac:dyDescent="0.35">
      <c r="B47" s="47"/>
      <c r="C47" s="47"/>
      <c r="D47" s="128" t="str">
        <f t="shared" si="5"/>
        <v/>
      </c>
      <c r="E47" s="48"/>
      <c r="F47" s="251"/>
      <c r="G47" s="252"/>
      <c r="H47" s="152"/>
    </row>
    <row r="48" spans="2:8" s="43" customFormat="1" ht="15" thickBot="1" x14ac:dyDescent="0.35">
      <c r="B48" s="135" t="s">
        <v>68</v>
      </c>
      <c r="C48" s="66">
        <f>SUM(C40:C47)</f>
        <v>38</v>
      </c>
      <c r="D48" s="135" t="str">
        <f xml:space="preserve"> setValueToTime(C48)</f>
        <v>3h 10 min</v>
      </c>
      <c r="E48" s="96"/>
      <c r="F48" s="243"/>
      <c r="G48" s="24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61</v>
      </c>
      <c r="C50" s="137">
        <v>9</v>
      </c>
      <c r="D50" s="137"/>
      <c r="E50" s="130" t="s">
        <v>62</v>
      </c>
      <c r="F50" s="131">
        <v>45786</v>
      </c>
      <c r="G50" s="132" t="s">
        <v>90</v>
      </c>
      <c r="H50" s="151"/>
    </row>
    <row r="51" spans="2:8" s="39" customFormat="1" ht="30" customHeight="1" thickBot="1" x14ac:dyDescent="0.3">
      <c r="B51" s="61" t="s">
        <v>63</v>
      </c>
      <c r="C51" s="134" t="s">
        <v>64</v>
      </c>
      <c r="D51" s="133"/>
      <c r="E51" s="61" t="s">
        <v>65</v>
      </c>
      <c r="F51" s="245" t="s">
        <v>66</v>
      </c>
      <c r="G51" s="246"/>
      <c r="H51" s="151"/>
    </row>
    <row r="52" spans="2:8" s="43" customFormat="1" ht="27" x14ac:dyDescent="0.3">
      <c r="B52" s="44" t="s">
        <v>74</v>
      </c>
      <c r="C52" s="45">
        <v>8</v>
      </c>
      <c r="D52" s="126" t="str">
        <f t="shared" ref="D52" si="6" xml:space="preserve"> IF(C52="","",setValueToTime(C52))</f>
        <v xml:space="preserve"> 40 min</v>
      </c>
      <c r="E52" s="46" t="s">
        <v>126</v>
      </c>
      <c r="F52" s="235"/>
      <c r="G52" s="236"/>
      <c r="H52" s="152"/>
    </row>
    <row r="53" spans="2:8" s="43" customFormat="1" ht="27" x14ac:dyDescent="0.3">
      <c r="B53" s="45" t="s">
        <v>77</v>
      </c>
      <c r="C53" s="45">
        <v>6</v>
      </c>
      <c r="D53" s="127" t="str">
        <f t="shared" ref="D53" si="7" xml:space="preserve"> IF(C53="","",setValueToTime(C53))</f>
        <v xml:space="preserve"> 30 min</v>
      </c>
      <c r="E53" s="46" t="s">
        <v>127</v>
      </c>
      <c r="F53" s="237"/>
      <c r="G53" s="238"/>
      <c r="H53" s="152"/>
    </row>
    <row r="54" spans="2:8" s="43" customFormat="1" ht="27.75" thickBot="1" x14ac:dyDescent="0.35">
      <c r="B54" s="45" t="s">
        <v>77</v>
      </c>
      <c r="C54" s="45">
        <v>16</v>
      </c>
      <c r="D54" s="127" t="str">
        <f t="shared" ref="D54" si="8" xml:space="preserve"> IF(C54="","",setValueToTime(C54))</f>
        <v>1h 20 min</v>
      </c>
      <c r="E54" s="46" t="s">
        <v>128</v>
      </c>
      <c r="F54" s="237"/>
      <c r="G54" s="238"/>
      <c r="H54" s="152"/>
    </row>
    <row r="55" spans="2:8" s="43" customFormat="1" x14ac:dyDescent="0.3">
      <c r="B55" s="44" t="s">
        <v>58</v>
      </c>
      <c r="C55" s="45">
        <v>4</v>
      </c>
      <c r="D55" s="126" t="str">
        <f t="shared" ref="D55:D57" si="9" xml:space="preserve"> IF(C55="","",setValueToTime(C55))</f>
        <v xml:space="preserve"> 20 min</v>
      </c>
      <c r="E55" s="46" t="s">
        <v>129</v>
      </c>
      <c r="F55" s="250" t="s">
        <v>114</v>
      </c>
      <c r="G55" s="248"/>
      <c r="H55" s="152"/>
    </row>
    <row r="56" spans="2:8" s="43" customFormat="1" x14ac:dyDescent="0.3">
      <c r="B56" s="44" t="s">
        <v>58</v>
      </c>
      <c r="C56" s="45">
        <v>1</v>
      </c>
      <c r="D56" s="127" t="str">
        <f t="shared" si="9"/>
        <v xml:space="preserve"> 5 min</v>
      </c>
      <c r="E56" s="171" t="s">
        <v>94</v>
      </c>
      <c r="F56" s="237"/>
      <c r="G56" s="238"/>
      <c r="H56" s="152"/>
    </row>
    <row r="57" spans="2:8" s="43" customFormat="1" ht="41.25" thickBot="1" x14ac:dyDescent="0.35">
      <c r="B57" s="45" t="s">
        <v>95</v>
      </c>
      <c r="C57" s="45">
        <v>3</v>
      </c>
      <c r="D57" s="127" t="str">
        <f t="shared" si="9"/>
        <v xml:space="preserve"> 15 min</v>
      </c>
      <c r="E57" s="171" t="s">
        <v>96</v>
      </c>
      <c r="F57" s="241" t="s">
        <v>117</v>
      </c>
      <c r="G57" s="242"/>
      <c r="H57" s="152"/>
    </row>
    <row r="58" spans="2:8" s="43" customFormat="1" ht="15" thickBot="1" x14ac:dyDescent="0.35">
      <c r="B58" s="135" t="s">
        <v>68</v>
      </c>
      <c r="C58" s="66">
        <f>SUM(C52:C57)</f>
        <v>38</v>
      </c>
      <c r="D58" s="135" t="str">
        <f xml:space="preserve"> setValueToTime(C58)</f>
        <v>3h 10 min</v>
      </c>
      <c r="E58" s="96"/>
      <c r="F58" s="243"/>
      <c r="G58" s="244"/>
      <c r="H58" s="152"/>
    </row>
    <row r="59" spans="2:8" s="43" customFormat="1" ht="15" thickBot="1" x14ac:dyDescent="0.35">
      <c r="B59" s="60"/>
      <c r="C59" s="60"/>
      <c r="D59" s="60"/>
      <c r="E59" s="60"/>
      <c r="F59" s="60"/>
      <c r="G59" s="60"/>
      <c r="H59" s="152"/>
    </row>
    <row r="60" spans="2:8" s="39" customFormat="1" ht="30" customHeight="1" thickBot="1" x14ac:dyDescent="0.3">
      <c r="B60" s="129" t="s">
        <v>61</v>
      </c>
      <c r="C60" s="137">
        <v>8</v>
      </c>
      <c r="D60" s="137"/>
      <c r="E60" s="130" t="s">
        <v>62</v>
      </c>
      <c r="F60" s="131">
        <v>45786</v>
      </c>
      <c r="G60" s="132" t="s">
        <v>80</v>
      </c>
      <c r="H60" s="151"/>
    </row>
    <row r="61" spans="2:8" s="39" customFormat="1" ht="30" customHeight="1" thickBot="1" x14ac:dyDescent="0.3">
      <c r="B61" s="61" t="s">
        <v>63</v>
      </c>
      <c r="C61" s="134" t="s">
        <v>64</v>
      </c>
      <c r="D61" s="133"/>
      <c r="E61" s="61" t="s">
        <v>65</v>
      </c>
      <c r="F61" s="245" t="s">
        <v>66</v>
      </c>
      <c r="G61" s="246"/>
      <c r="H61" s="151"/>
    </row>
    <row r="62" spans="2:8" s="43" customFormat="1" ht="27" x14ac:dyDescent="0.3">
      <c r="B62" s="40" t="s">
        <v>106</v>
      </c>
      <c r="C62" s="41">
        <v>1</v>
      </c>
      <c r="D62" s="125" t="str">
        <f xml:space="preserve"> IF(C62="","",setValueToTime(C62))</f>
        <v xml:space="preserve"> 5 min</v>
      </c>
      <c r="E62" s="42" t="s">
        <v>107</v>
      </c>
      <c r="F62" s="235"/>
      <c r="G62" s="236"/>
      <c r="H62" s="152"/>
    </row>
    <row r="63" spans="2:8" s="43" customFormat="1" ht="27.75" thickBot="1" x14ac:dyDescent="0.35">
      <c r="B63" s="45" t="s">
        <v>56</v>
      </c>
      <c r="C63" s="45">
        <v>10</v>
      </c>
      <c r="D63" s="127" t="str">
        <f t="shared" ref="D63" si="10" xml:space="preserve"> IF(C63="","",setValueToTime(C63))</f>
        <v xml:space="preserve"> 50 min</v>
      </c>
      <c r="E63" s="192" t="s">
        <v>122</v>
      </c>
      <c r="F63" s="241" t="s">
        <v>101</v>
      </c>
      <c r="G63" s="242"/>
      <c r="H63" s="152"/>
    </row>
    <row r="64" spans="2:8" s="43" customFormat="1" x14ac:dyDescent="0.3">
      <c r="B64" s="44" t="s">
        <v>58</v>
      </c>
      <c r="C64" s="45">
        <v>7</v>
      </c>
      <c r="D64" s="126" t="str">
        <f t="shared" ref="D64:D66" si="11" xml:space="preserve"> IF(C64="","",setValueToTime(C64))</f>
        <v xml:space="preserve"> 35 min</v>
      </c>
      <c r="E64" s="46" t="s">
        <v>123</v>
      </c>
      <c r="F64" s="250" t="s">
        <v>114</v>
      </c>
      <c r="G64" s="248"/>
      <c r="H64" s="152"/>
    </row>
    <row r="65" spans="2:8" s="43" customFormat="1" ht="27" x14ac:dyDescent="0.3">
      <c r="B65" s="44" t="s">
        <v>74</v>
      </c>
      <c r="C65" s="45">
        <v>17</v>
      </c>
      <c r="D65" s="126" t="str">
        <f t="shared" si="11"/>
        <v>1h 25 min</v>
      </c>
      <c r="E65" s="46" t="s">
        <v>124</v>
      </c>
      <c r="F65" s="237"/>
      <c r="G65" s="238"/>
      <c r="H65" s="152"/>
    </row>
    <row r="66" spans="2:8" s="43" customFormat="1" ht="27.75" thickBot="1" x14ac:dyDescent="0.35">
      <c r="B66" s="45" t="s">
        <v>77</v>
      </c>
      <c r="C66" s="45">
        <v>13</v>
      </c>
      <c r="D66" s="127" t="str">
        <f t="shared" si="11"/>
        <v>1h 5 min</v>
      </c>
      <c r="E66" s="46" t="s">
        <v>125</v>
      </c>
      <c r="F66" s="237"/>
      <c r="G66" s="238"/>
      <c r="H66" s="152"/>
    </row>
    <row r="67" spans="2:8" s="43" customFormat="1" ht="15" thickBot="1" x14ac:dyDescent="0.35">
      <c r="B67" s="135" t="s">
        <v>68</v>
      </c>
      <c r="C67" s="66">
        <f>SUM(C62:C66)</f>
        <v>48</v>
      </c>
      <c r="D67" s="135" t="str">
        <f xml:space="preserve"> setValueToTime(C67)</f>
        <v>4h</v>
      </c>
      <c r="E67" s="96"/>
      <c r="F67" s="243"/>
      <c r="G67" s="244"/>
      <c r="H67" s="152"/>
    </row>
    <row r="68" spans="2:8" s="43" customFormat="1" ht="15" thickBot="1" x14ac:dyDescent="0.35">
      <c r="B68" s="60"/>
      <c r="C68" s="60"/>
      <c r="D68" s="60"/>
      <c r="E68" s="60"/>
      <c r="F68" s="60"/>
      <c r="G68" s="60"/>
      <c r="H68" s="152"/>
    </row>
    <row r="69" spans="2:8" s="39" customFormat="1" ht="30" customHeight="1" thickBot="1" x14ac:dyDescent="0.3">
      <c r="B69" s="129" t="s">
        <v>61</v>
      </c>
      <c r="C69" s="137">
        <v>7</v>
      </c>
      <c r="D69" s="137"/>
      <c r="E69" s="130" t="s">
        <v>62</v>
      </c>
      <c r="F69" s="131" t="s">
        <v>119</v>
      </c>
      <c r="G69" s="132" t="s">
        <v>90</v>
      </c>
      <c r="H69" s="151"/>
    </row>
    <row r="70" spans="2:8" s="39" customFormat="1" ht="30" customHeight="1" thickBot="1" x14ac:dyDescent="0.3">
      <c r="B70" s="61" t="s">
        <v>63</v>
      </c>
      <c r="C70" s="134" t="s">
        <v>64</v>
      </c>
      <c r="D70" s="133"/>
      <c r="E70" s="61" t="s">
        <v>65</v>
      </c>
      <c r="F70" s="245" t="s">
        <v>66</v>
      </c>
      <c r="G70" s="246"/>
      <c r="H70" s="151"/>
    </row>
    <row r="71" spans="2:8" s="43" customFormat="1" ht="27" x14ac:dyDescent="0.3">
      <c r="B71" s="40" t="s">
        <v>106</v>
      </c>
      <c r="C71" s="41">
        <v>1</v>
      </c>
      <c r="D71" s="125" t="str">
        <f xml:space="preserve"> IF(C71="","",setValueToTime(C71))</f>
        <v xml:space="preserve"> 5 min</v>
      </c>
      <c r="E71" s="42" t="s">
        <v>107</v>
      </c>
      <c r="F71" s="235"/>
      <c r="G71" s="236"/>
      <c r="H71" s="152"/>
    </row>
    <row r="72" spans="2:8" s="43" customFormat="1" ht="27" x14ac:dyDescent="0.3">
      <c r="B72" s="44" t="s">
        <v>71</v>
      </c>
      <c r="C72" s="45">
        <v>18</v>
      </c>
      <c r="D72" s="126" t="str">
        <f t="shared" ref="D72:D73" si="12" xml:space="preserve"> IF(C72="","",setValueToTime(C72))</f>
        <v>1h 30 min</v>
      </c>
      <c r="E72" s="46" t="s">
        <v>120</v>
      </c>
      <c r="F72" s="237"/>
      <c r="G72" s="238"/>
      <c r="H72" s="152"/>
    </row>
    <row r="73" spans="2:8" s="43" customFormat="1" ht="27.75" thickBot="1" x14ac:dyDescent="0.35">
      <c r="B73" s="45" t="s">
        <v>56</v>
      </c>
      <c r="C73" s="45">
        <v>19</v>
      </c>
      <c r="D73" s="127" t="str">
        <f t="shared" si="12"/>
        <v>1h 35 min</v>
      </c>
      <c r="E73" s="192" t="s">
        <v>121</v>
      </c>
      <c r="F73" s="237"/>
      <c r="G73" s="238"/>
      <c r="H73" s="152"/>
    </row>
    <row r="74" spans="2:8" s="43" customFormat="1" ht="15" thickBot="1" x14ac:dyDescent="0.35">
      <c r="B74" s="135" t="s">
        <v>68</v>
      </c>
      <c r="C74" s="66">
        <f>SUM(C71:C73)</f>
        <v>38</v>
      </c>
      <c r="D74" s="135" t="str">
        <f xml:space="preserve"> setValueToTime(C74)</f>
        <v>3h 10 min</v>
      </c>
      <c r="E74" s="96"/>
      <c r="F74" s="243"/>
      <c r="G74" s="244"/>
      <c r="H74" s="152"/>
    </row>
    <row r="75" spans="2:8" s="43" customFormat="1" ht="15" thickBot="1" x14ac:dyDescent="0.35">
      <c r="B75" s="60"/>
      <c r="C75" s="60"/>
      <c r="D75" s="60"/>
      <c r="E75" s="60"/>
      <c r="F75" s="60"/>
      <c r="G75" s="60"/>
      <c r="H75" s="152"/>
    </row>
    <row r="76" spans="2:8" s="39" customFormat="1" ht="30" customHeight="1" thickBot="1" x14ac:dyDescent="0.3">
      <c r="B76" s="129" t="s">
        <v>61</v>
      </c>
      <c r="C76" s="137">
        <v>6</v>
      </c>
      <c r="D76" s="137"/>
      <c r="E76" s="130" t="s">
        <v>62</v>
      </c>
      <c r="F76" s="131">
        <v>45784</v>
      </c>
      <c r="G76" s="132" t="s">
        <v>90</v>
      </c>
      <c r="H76" s="151"/>
    </row>
    <row r="77" spans="2:8" s="39" customFormat="1" ht="30" customHeight="1" thickBot="1" x14ac:dyDescent="0.3">
      <c r="B77" s="61" t="s">
        <v>63</v>
      </c>
      <c r="C77" s="134" t="s">
        <v>64</v>
      </c>
      <c r="D77" s="133"/>
      <c r="E77" s="61" t="s">
        <v>65</v>
      </c>
      <c r="F77" s="245" t="s">
        <v>66</v>
      </c>
      <c r="G77" s="246"/>
      <c r="H77" s="151"/>
    </row>
    <row r="78" spans="2:8" s="43" customFormat="1" ht="27" x14ac:dyDescent="0.3">
      <c r="B78" s="45" t="s">
        <v>58</v>
      </c>
      <c r="C78" s="45">
        <v>27</v>
      </c>
      <c r="D78" s="127" t="str">
        <f xml:space="preserve"> IF(C78="","",setValueToTime(C78))</f>
        <v>2h 15 min</v>
      </c>
      <c r="E78" s="42" t="s">
        <v>115</v>
      </c>
      <c r="F78" s="250" t="s">
        <v>114</v>
      </c>
      <c r="G78" s="248"/>
      <c r="H78" s="152"/>
    </row>
    <row r="79" spans="2:8" s="43" customFormat="1" ht="54" x14ac:dyDescent="0.3">
      <c r="B79" s="44" t="s">
        <v>69</v>
      </c>
      <c r="C79" s="45">
        <v>7</v>
      </c>
      <c r="D79" s="126" t="str">
        <f t="shared" ref="D79:D82" si="13" xml:space="preserve"> IF(C79="","",setValueToTime(C79))</f>
        <v xml:space="preserve"> 35 min</v>
      </c>
      <c r="E79" s="46" t="s">
        <v>116</v>
      </c>
      <c r="F79" s="249"/>
      <c r="G79" s="242"/>
      <c r="H79" s="152"/>
    </row>
    <row r="80" spans="2:8" s="43" customFormat="1" x14ac:dyDescent="0.3">
      <c r="B80" s="44" t="s">
        <v>58</v>
      </c>
      <c r="C80" s="45">
        <v>1</v>
      </c>
      <c r="D80" s="127" t="str">
        <f t="shared" si="13"/>
        <v xml:space="preserve"> 5 min</v>
      </c>
      <c r="E80" s="171" t="s">
        <v>94</v>
      </c>
      <c r="F80" s="249"/>
      <c r="G80" s="242"/>
      <c r="H80" s="152"/>
    </row>
    <row r="81" spans="2:8" s="43" customFormat="1" ht="40.5" x14ac:dyDescent="0.3">
      <c r="B81" s="45" t="s">
        <v>95</v>
      </c>
      <c r="C81" s="45">
        <v>3</v>
      </c>
      <c r="D81" s="127" t="str">
        <f t="shared" si="13"/>
        <v xml:space="preserve"> 15 min</v>
      </c>
      <c r="E81" s="171" t="s">
        <v>96</v>
      </c>
      <c r="F81" s="241" t="s">
        <v>117</v>
      </c>
      <c r="G81" s="242"/>
      <c r="H81" s="152"/>
    </row>
    <row r="82" spans="2:8" s="43" customFormat="1" ht="15" thickBot="1" x14ac:dyDescent="0.35">
      <c r="B82" s="45"/>
      <c r="C82" s="45"/>
      <c r="D82" s="127" t="str">
        <f t="shared" si="13"/>
        <v/>
      </c>
      <c r="E82" s="46"/>
      <c r="F82" s="241" t="s">
        <v>118</v>
      </c>
      <c r="G82" s="242"/>
      <c r="H82" s="152"/>
    </row>
    <row r="83" spans="2:8" s="43" customFormat="1" ht="15" thickBot="1" x14ac:dyDescent="0.35">
      <c r="B83" s="135" t="s">
        <v>68</v>
      </c>
      <c r="C83" s="66">
        <f>SUM(C78:C82)</f>
        <v>38</v>
      </c>
      <c r="D83" s="135" t="str">
        <f xml:space="preserve"> setValueToTime(C83)</f>
        <v>3h 10 min</v>
      </c>
      <c r="E83" s="96"/>
      <c r="F83" s="243"/>
      <c r="G83" s="244"/>
      <c r="H83" s="152"/>
    </row>
    <row r="84" spans="2:8" s="43" customFormat="1" ht="15" thickBot="1" x14ac:dyDescent="0.35">
      <c r="B84" s="60"/>
      <c r="C84" s="60"/>
      <c r="D84" s="60"/>
      <c r="E84" s="60"/>
      <c r="F84" s="60"/>
      <c r="G84" s="60"/>
      <c r="H84" s="152"/>
    </row>
    <row r="85" spans="2:8" s="39" customFormat="1" ht="30" customHeight="1" thickBot="1" x14ac:dyDescent="0.3">
      <c r="B85" s="129" t="s">
        <v>61</v>
      </c>
      <c r="C85" s="137">
        <v>5</v>
      </c>
      <c r="D85" s="137"/>
      <c r="E85" s="130" t="s">
        <v>62</v>
      </c>
      <c r="F85" s="131">
        <v>45784</v>
      </c>
      <c r="G85" s="132" t="s">
        <v>80</v>
      </c>
      <c r="H85" s="151"/>
    </row>
    <row r="86" spans="2:8" s="39" customFormat="1" ht="30" customHeight="1" thickBot="1" x14ac:dyDescent="0.3">
      <c r="B86" s="61" t="s">
        <v>63</v>
      </c>
      <c r="C86" s="134" t="s">
        <v>64</v>
      </c>
      <c r="D86" s="133"/>
      <c r="E86" s="61" t="s">
        <v>65</v>
      </c>
      <c r="F86" s="245" t="s">
        <v>66</v>
      </c>
      <c r="G86" s="246"/>
      <c r="H86" s="151"/>
    </row>
    <row r="87" spans="2:8" s="43" customFormat="1" ht="27" x14ac:dyDescent="0.3">
      <c r="B87" s="40" t="s">
        <v>106</v>
      </c>
      <c r="C87" s="41">
        <v>1</v>
      </c>
      <c r="D87" s="125" t="str">
        <f xml:space="preserve"> IF(C87="","",setValueToTime(C87))</f>
        <v xml:space="preserve"> 5 min</v>
      </c>
      <c r="E87" s="42" t="s">
        <v>107</v>
      </c>
      <c r="F87" s="247"/>
      <c r="G87" s="248"/>
      <c r="H87" s="152"/>
    </row>
    <row r="88" spans="2:8" s="43" customFormat="1" ht="27" x14ac:dyDescent="0.3">
      <c r="B88" s="45" t="s">
        <v>56</v>
      </c>
      <c r="C88" s="45">
        <v>30</v>
      </c>
      <c r="D88" s="127" t="str">
        <f t="shared" ref="D88" si="14" xml:space="preserve"> IF(C88="","",setValueToTime(C88))</f>
        <v>2h 30 min</v>
      </c>
      <c r="E88" s="192" t="s">
        <v>108</v>
      </c>
      <c r="F88" s="241" t="s">
        <v>101</v>
      </c>
      <c r="G88" s="242"/>
      <c r="H88" s="152"/>
    </row>
    <row r="89" spans="2:8" s="43" customFormat="1" ht="27" x14ac:dyDescent="0.3">
      <c r="B89" s="45" t="s">
        <v>56</v>
      </c>
      <c r="C89" s="45">
        <v>1</v>
      </c>
      <c r="D89" s="126" t="str">
        <f t="shared" ref="D89:D90" si="15" xml:space="preserve"> IF(C89="","",setValueToTime(C89))</f>
        <v xml:space="preserve"> 5 min</v>
      </c>
      <c r="E89" s="46" t="s">
        <v>109</v>
      </c>
      <c r="F89" s="241" t="s">
        <v>110</v>
      </c>
      <c r="G89" s="242"/>
      <c r="H89" s="152"/>
    </row>
    <row r="90" spans="2:8" s="43" customFormat="1" ht="54" x14ac:dyDescent="0.3">
      <c r="B90" s="44" t="s">
        <v>70</v>
      </c>
      <c r="C90" s="45">
        <v>3</v>
      </c>
      <c r="D90" s="126" t="str">
        <f t="shared" si="15"/>
        <v xml:space="preserve"> 15 min</v>
      </c>
      <c r="E90" s="46" t="s">
        <v>111</v>
      </c>
      <c r="F90" s="241" t="s">
        <v>112</v>
      </c>
      <c r="G90" s="242"/>
      <c r="H90" s="152"/>
    </row>
    <row r="91" spans="2:8" s="43" customFormat="1" x14ac:dyDescent="0.3">
      <c r="B91" s="45"/>
      <c r="C91" s="45"/>
      <c r="D91" s="127"/>
      <c r="E91" s="46"/>
      <c r="F91" s="241" t="s">
        <v>113</v>
      </c>
      <c r="G91" s="242"/>
      <c r="H91" s="152"/>
    </row>
    <row r="92" spans="2:8" s="43" customFormat="1" x14ac:dyDescent="0.3">
      <c r="B92" s="45" t="s">
        <v>58</v>
      </c>
      <c r="C92" s="45">
        <v>12</v>
      </c>
      <c r="D92" s="127" t="str">
        <f xml:space="preserve"> IF(C92="","",setValueToTime(C92))</f>
        <v>1h</v>
      </c>
      <c r="E92" s="46"/>
      <c r="F92" s="249"/>
      <c r="G92" s="242"/>
      <c r="H92" s="152"/>
    </row>
    <row r="93" spans="2:8" s="43" customFormat="1" ht="27.75" thickBot="1" x14ac:dyDescent="0.35">
      <c r="B93" s="44" t="s">
        <v>57</v>
      </c>
      <c r="C93" s="45">
        <v>1</v>
      </c>
      <c r="D93" s="126" t="str">
        <f t="shared" ref="D93" si="16" xml:space="preserve"> IF(C93="","",setValueToTime(C93))</f>
        <v xml:space="preserve"> 5 min</v>
      </c>
      <c r="E93" s="46" t="s">
        <v>87</v>
      </c>
      <c r="F93" s="241" t="s">
        <v>103</v>
      </c>
      <c r="G93" s="242"/>
      <c r="H93" s="152"/>
    </row>
    <row r="94" spans="2:8" s="43" customFormat="1" ht="15" thickBot="1" x14ac:dyDescent="0.35">
      <c r="B94" s="135" t="s">
        <v>68</v>
      </c>
      <c r="C94" s="66">
        <f>SUM(C87:C93)</f>
        <v>48</v>
      </c>
      <c r="D94" s="135" t="str">
        <f xml:space="preserve"> setValueToTime(C94)</f>
        <v>4h</v>
      </c>
      <c r="E94" s="96"/>
      <c r="F94" s="243"/>
      <c r="G94" s="244"/>
      <c r="H94" s="152"/>
    </row>
    <row r="95" spans="2:8" s="43" customFormat="1" ht="15" thickBot="1" x14ac:dyDescent="0.35">
      <c r="B95" s="60"/>
      <c r="C95" s="60"/>
      <c r="D95" s="60"/>
      <c r="E95" s="60"/>
      <c r="F95" s="60"/>
      <c r="G95" s="60"/>
      <c r="H95" s="152"/>
    </row>
    <row r="96" spans="2:8" s="39" customFormat="1" ht="30" customHeight="1" thickBot="1" x14ac:dyDescent="0.3">
      <c r="B96" s="129" t="s">
        <v>61</v>
      </c>
      <c r="C96" s="137">
        <v>4</v>
      </c>
      <c r="D96" s="137"/>
      <c r="E96" s="130" t="s">
        <v>62</v>
      </c>
      <c r="F96" s="131">
        <v>45782</v>
      </c>
      <c r="G96" s="132" t="s">
        <v>90</v>
      </c>
      <c r="H96" s="151"/>
    </row>
    <row r="97" spans="2:8" s="39" customFormat="1" ht="30" customHeight="1" thickBot="1" x14ac:dyDescent="0.3">
      <c r="B97" s="61" t="s">
        <v>63</v>
      </c>
      <c r="C97" s="134" t="s">
        <v>64</v>
      </c>
      <c r="D97" s="133"/>
      <c r="E97" s="61" t="s">
        <v>65</v>
      </c>
      <c r="F97" s="245" t="s">
        <v>66</v>
      </c>
      <c r="G97" s="246"/>
      <c r="H97" s="151"/>
    </row>
    <row r="98" spans="2:8" s="43" customFormat="1" ht="27" x14ac:dyDescent="0.3">
      <c r="B98" s="45" t="s">
        <v>56</v>
      </c>
      <c r="C98" s="45">
        <v>12</v>
      </c>
      <c r="D98" s="127" t="str">
        <f t="shared" ref="D98" si="17" xml:space="preserve"> IF(C98="","",setValueToTime(C98))</f>
        <v>1h</v>
      </c>
      <c r="E98" s="171" t="s">
        <v>102</v>
      </c>
      <c r="F98" s="250" t="s">
        <v>101</v>
      </c>
      <c r="G98" s="253"/>
      <c r="H98" s="152"/>
    </row>
    <row r="99" spans="2:8" s="43" customFormat="1" ht="14.25" customHeight="1" x14ac:dyDescent="0.3">
      <c r="B99" s="44" t="s">
        <v>58</v>
      </c>
      <c r="C99" s="45">
        <v>14</v>
      </c>
      <c r="D99" s="126" t="str">
        <f t="shared" ref="D99:D100" si="18" xml:space="preserve"> IF(C99="","",setValueToTime(C99))</f>
        <v>1h 10 min</v>
      </c>
      <c r="E99" s="46" t="s">
        <v>105</v>
      </c>
      <c r="F99" s="241" t="s">
        <v>104</v>
      </c>
      <c r="G99" s="254"/>
      <c r="H99" s="152"/>
    </row>
    <row r="100" spans="2:8" s="43" customFormat="1" ht="27" customHeight="1" thickBot="1" x14ac:dyDescent="0.35">
      <c r="B100" s="44" t="s">
        <v>57</v>
      </c>
      <c r="C100" s="45">
        <v>1</v>
      </c>
      <c r="D100" s="126" t="str">
        <f t="shared" si="18"/>
        <v xml:space="preserve"> 5 min</v>
      </c>
      <c r="E100" s="46" t="s">
        <v>87</v>
      </c>
      <c r="F100" s="241" t="s">
        <v>103</v>
      </c>
      <c r="G100" s="254"/>
      <c r="H100" s="152"/>
    </row>
    <row r="101" spans="2:8" s="43" customFormat="1" ht="15" thickBot="1" x14ac:dyDescent="0.35">
      <c r="B101" s="135" t="s">
        <v>68</v>
      </c>
      <c r="C101" s="66">
        <f>SUM(C98:C100)</f>
        <v>27</v>
      </c>
      <c r="D101" s="135" t="str">
        <f xml:space="preserve"> setValueToTime(C101)</f>
        <v>2h 15 min</v>
      </c>
      <c r="E101" s="96"/>
      <c r="F101" s="243"/>
      <c r="G101" s="244"/>
      <c r="H101" s="152"/>
    </row>
    <row r="102" spans="2:8" s="43" customFormat="1" ht="15" thickBot="1" x14ac:dyDescent="0.35">
      <c r="B102" s="60"/>
      <c r="C102" s="60"/>
      <c r="D102" s="60"/>
      <c r="E102" s="60"/>
      <c r="F102" s="60"/>
      <c r="G102" s="60"/>
      <c r="H102" s="152"/>
    </row>
    <row r="103" spans="2:8" s="39" customFormat="1" ht="30" customHeight="1" thickBot="1" x14ac:dyDescent="0.3">
      <c r="B103" s="129" t="s">
        <v>61</v>
      </c>
      <c r="C103" s="137">
        <v>3</v>
      </c>
      <c r="D103" s="137"/>
      <c r="E103" s="130" t="s">
        <v>62</v>
      </c>
      <c r="F103" s="131">
        <v>45782</v>
      </c>
      <c r="G103" s="132" t="s">
        <v>80</v>
      </c>
      <c r="H103" s="151"/>
    </row>
    <row r="104" spans="2:8" s="39" customFormat="1" ht="30" customHeight="1" thickBot="1" x14ac:dyDescent="0.3">
      <c r="B104" s="61" t="s">
        <v>63</v>
      </c>
      <c r="C104" s="134" t="s">
        <v>64</v>
      </c>
      <c r="D104" s="133"/>
      <c r="E104" s="61" t="s">
        <v>65</v>
      </c>
      <c r="F104" s="245" t="s">
        <v>66</v>
      </c>
      <c r="G104" s="246"/>
      <c r="H104" s="151"/>
    </row>
    <row r="105" spans="2:8" s="43" customFormat="1" ht="27" x14ac:dyDescent="0.3">
      <c r="B105" s="45" t="s">
        <v>56</v>
      </c>
      <c r="C105" s="45">
        <v>33</v>
      </c>
      <c r="D105" s="127" t="str">
        <f t="shared" ref="D105" si="19" xml:space="preserve"> IF(C105="","",setValueToTime(C105))</f>
        <v>2h 45 min</v>
      </c>
      <c r="E105" s="171" t="s">
        <v>102</v>
      </c>
      <c r="F105" s="250" t="s">
        <v>101</v>
      </c>
      <c r="G105" s="253"/>
      <c r="H105" s="152"/>
    </row>
    <row r="106" spans="2:8" s="43" customFormat="1" ht="14.25" customHeight="1" x14ac:dyDescent="0.3">
      <c r="B106" s="44" t="s">
        <v>71</v>
      </c>
      <c r="C106" s="45">
        <v>2</v>
      </c>
      <c r="D106" s="126" t="str">
        <f t="shared" ref="D106:D107" si="20" xml:space="preserve"> IF(C106="","",setValueToTime(C106))</f>
        <v xml:space="preserve"> 10 min</v>
      </c>
      <c r="E106" s="46" t="s">
        <v>99</v>
      </c>
      <c r="F106" s="237"/>
      <c r="G106" s="238"/>
      <c r="H106" s="152"/>
    </row>
    <row r="107" spans="2:8" s="43" customFormat="1" ht="27" customHeight="1" thickBot="1" x14ac:dyDescent="0.35">
      <c r="B107" s="44" t="s">
        <v>71</v>
      </c>
      <c r="C107" s="45">
        <v>3</v>
      </c>
      <c r="D107" s="126" t="str">
        <f t="shared" si="20"/>
        <v xml:space="preserve"> 15 min</v>
      </c>
      <c r="E107" s="46" t="s">
        <v>100</v>
      </c>
      <c r="F107" s="237"/>
      <c r="G107" s="238"/>
      <c r="H107" s="152"/>
    </row>
    <row r="108" spans="2:8" s="43" customFormat="1" ht="15" thickBot="1" x14ac:dyDescent="0.35">
      <c r="B108" s="135" t="s">
        <v>68</v>
      </c>
      <c r="C108" s="66">
        <f>SUM(C105:C107)</f>
        <v>38</v>
      </c>
      <c r="D108" s="135" t="str">
        <f xml:space="preserve"> setValueToTime(C108)</f>
        <v>3h 10 min</v>
      </c>
      <c r="E108" s="96"/>
      <c r="F108" s="243"/>
      <c r="G108" s="24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61</v>
      </c>
      <c r="C110" s="137">
        <v>2</v>
      </c>
      <c r="D110" s="137"/>
      <c r="E110" s="130" t="s">
        <v>62</v>
      </c>
      <c r="F110" s="131">
        <v>45779</v>
      </c>
      <c r="G110" s="132" t="s">
        <v>90</v>
      </c>
      <c r="H110" s="151"/>
    </row>
    <row r="111" spans="2:8" s="39" customFormat="1" ht="30" customHeight="1" thickBot="1" x14ac:dyDescent="0.3">
      <c r="B111" s="61" t="s">
        <v>63</v>
      </c>
      <c r="C111" s="134" t="s">
        <v>64</v>
      </c>
      <c r="D111" s="133"/>
      <c r="E111" s="61" t="s">
        <v>65</v>
      </c>
      <c r="F111" s="245" t="s">
        <v>66</v>
      </c>
      <c r="G111" s="246"/>
      <c r="H111" s="151"/>
    </row>
    <row r="112" spans="2:8" s="43" customFormat="1" ht="27" x14ac:dyDescent="0.3">
      <c r="B112" s="45" t="s">
        <v>56</v>
      </c>
      <c r="C112" s="45">
        <v>30</v>
      </c>
      <c r="D112" s="127" t="str">
        <f t="shared" ref="D112" si="21" xml:space="preserve"> IF(C112="","",setValueToTime(C112))</f>
        <v>2h 30 min</v>
      </c>
      <c r="E112" s="171" t="s">
        <v>91</v>
      </c>
      <c r="F112" s="250" t="s">
        <v>101</v>
      </c>
      <c r="G112" s="248"/>
      <c r="H112" s="152"/>
    </row>
    <row r="113" spans="2:8" s="43" customFormat="1" ht="27" x14ac:dyDescent="0.3">
      <c r="B113" s="44" t="s">
        <v>56</v>
      </c>
      <c r="C113" s="45">
        <v>2</v>
      </c>
      <c r="D113" s="126" t="str">
        <f t="shared" ref="D113:D117" si="22" xml:space="preserve"> IF(C113="","",setValueToTime(C113))</f>
        <v xml:space="preserve"> 10 min</v>
      </c>
      <c r="E113" s="171" t="s">
        <v>92</v>
      </c>
      <c r="F113" s="237"/>
      <c r="G113" s="238"/>
      <c r="H113" s="152"/>
    </row>
    <row r="114" spans="2:8" s="43" customFormat="1" ht="27" x14ac:dyDescent="0.3">
      <c r="B114" s="44" t="s">
        <v>57</v>
      </c>
      <c r="C114" s="45">
        <v>1</v>
      </c>
      <c r="D114" s="126" t="str">
        <f t="shared" si="22"/>
        <v xml:space="preserve"> 5 min</v>
      </c>
      <c r="E114" s="171" t="s">
        <v>94</v>
      </c>
      <c r="F114" s="237"/>
      <c r="G114" s="238"/>
      <c r="H114" s="152"/>
    </row>
    <row r="115" spans="2:8" s="43" customFormat="1" x14ac:dyDescent="0.3">
      <c r="B115" s="44" t="s">
        <v>58</v>
      </c>
      <c r="C115" s="45">
        <v>1</v>
      </c>
      <c r="D115" s="126" t="str">
        <f t="shared" si="22"/>
        <v xml:space="preserve"> 5 min</v>
      </c>
      <c r="E115" s="171" t="s">
        <v>93</v>
      </c>
      <c r="F115" s="237"/>
      <c r="G115" s="238"/>
      <c r="H115" s="152"/>
    </row>
    <row r="116" spans="2:8" s="43" customFormat="1" x14ac:dyDescent="0.3">
      <c r="B116" s="44" t="s">
        <v>58</v>
      </c>
      <c r="C116" s="45">
        <v>1</v>
      </c>
      <c r="D116" s="127" t="str">
        <f t="shared" si="22"/>
        <v xml:space="preserve"> 5 min</v>
      </c>
      <c r="E116" s="171" t="s">
        <v>94</v>
      </c>
      <c r="F116" s="237"/>
      <c r="G116" s="238"/>
      <c r="H116" s="152"/>
    </row>
    <row r="117" spans="2:8" s="43" customFormat="1" ht="41.25" thickBot="1" x14ac:dyDescent="0.35">
      <c r="B117" s="45" t="s">
        <v>95</v>
      </c>
      <c r="C117" s="45">
        <v>3</v>
      </c>
      <c r="D117" s="127" t="str">
        <f t="shared" si="22"/>
        <v xml:space="preserve"> 15 min</v>
      </c>
      <c r="E117" s="171" t="s">
        <v>96</v>
      </c>
      <c r="F117" s="237"/>
      <c r="G117" s="238"/>
      <c r="H117" s="152"/>
    </row>
    <row r="118" spans="2:8" s="43" customFormat="1" ht="15" thickBot="1" x14ac:dyDescent="0.35">
      <c r="B118" s="135" t="s">
        <v>68</v>
      </c>
      <c r="C118" s="66">
        <f>SUM(C112:C117)</f>
        <v>38</v>
      </c>
      <c r="D118" s="135" t="str">
        <f xml:space="preserve"> setValueToTime(C118)</f>
        <v>3h 10 min</v>
      </c>
      <c r="E118" s="96"/>
      <c r="F118" s="243"/>
      <c r="G118" s="244"/>
      <c r="H118" s="152"/>
    </row>
    <row r="119" spans="2:8" s="43" customFormat="1" ht="15" thickBot="1" x14ac:dyDescent="0.35">
      <c r="B119" s="60"/>
      <c r="C119" s="60"/>
      <c r="D119" s="60"/>
      <c r="E119" s="60"/>
      <c r="F119" s="60"/>
      <c r="G119" s="60"/>
      <c r="H119" s="152"/>
    </row>
    <row r="120" spans="2:8" s="39" customFormat="1" ht="30" customHeight="1" thickBot="1" x14ac:dyDescent="0.3">
      <c r="B120" s="129" t="s">
        <v>61</v>
      </c>
      <c r="C120" s="137">
        <v>1</v>
      </c>
      <c r="D120" s="137"/>
      <c r="E120" s="130" t="s">
        <v>62</v>
      </c>
      <c r="F120" s="131" t="s">
        <v>83</v>
      </c>
      <c r="G120" s="132" t="s">
        <v>80</v>
      </c>
      <c r="H120" s="151"/>
    </row>
    <row r="121" spans="2:8" s="39" customFormat="1" ht="30" customHeight="1" thickBot="1" x14ac:dyDescent="0.3">
      <c r="B121" s="61" t="s">
        <v>63</v>
      </c>
      <c r="C121" s="134" t="s">
        <v>64</v>
      </c>
      <c r="D121" s="133"/>
      <c r="E121" s="61" t="s">
        <v>65</v>
      </c>
      <c r="F121" s="245" t="s">
        <v>66</v>
      </c>
      <c r="G121" s="246"/>
      <c r="H121" s="151"/>
    </row>
    <row r="122" spans="2:8" s="43" customFormat="1" ht="27" x14ac:dyDescent="0.3">
      <c r="B122" s="40" t="s">
        <v>84</v>
      </c>
      <c r="C122" s="41">
        <v>9</v>
      </c>
      <c r="D122" s="125" t="str">
        <f xml:space="preserve"> IF(C122="","",setValueToTime(C122))</f>
        <v xml:space="preserve"> 45 min</v>
      </c>
      <c r="E122" s="42" t="s">
        <v>85</v>
      </c>
      <c r="F122" s="235"/>
      <c r="G122" s="236"/>
      <c r="H122" s="152"/>
    </row>
    <row r="123" spans="2:8" s="43" customFormat="1" ht="27" x14ac:dyDescent="0.3">
      <c r="B123" s="44" t="s">
        <v>71</v>
      </c>
      <c r="C123" s="45">
        <v>9</v>
      </c>
      <c r="D123" s="126" t="str">
        <f t="shared" ref="D123:D126" si="23" xml:space="preserve"> IF(C123="","",setValueToTime(C123))</f>
        <v xml:space="preserve"> 45 min</v>
      </c>
      <c r="E123" s="46" t="s">
        <v>86</v>
      </c>
      <c r="F123" s="237"/>
      <c r="G123" s="238"/>
      <c r="H123" s="152"/>
    </row>
    <row r="124" spans="2:8" s="43" customFormat="1" ht="27" x14ac:dyDescent="0.3">
      <c r="B124" s="44" t="s">
        <v>56</v>
      </c>
      <c r="C124" s="45">
        <v>24</v>
      </c>
      <c r="D124" s="126" t="str">
        <f t="shared" si="23"/>
        <v>2h</v>
      </c>
      <c r="E124" s="171" t="s">
        <v>88</v>
      </c>
      <c r="F124" s="237"/>
      <c r="G124" s="238"/>
      <c r="H124" s="152"/>
    </row>
    <row r="125" spans="2:8" s="43" customFormat="1" ht="27" x14ac:dyDescent="0.3">
      <c r="B125" s="44" t="s">
        <v>57</v>
      </c>
      <c r="C125" s="45">
        <v>1</v>
      </c>
      <c r="D125" s="126" t="str">
        <f t="shared" si="23"/>
        <v xml:space="preserve"> 5 min</v>
      </c>
      <c r="E125" s="46" t="s">
        <v>87</v>
      </c>
      <c r="F125" s="237"/>
      <c r="G125" s="238"/>
      <c r="H125" s="152"/>
    </row>
    <row r="126" spans="2:8" s="43" customFormat="1" ht="27.75" thickBot="1" x14ac:dyDescent="0.35">
      <c r="B126" s="45" t="s">
        <v>56</v>
      </c>
      <c r="C126" s="45">
        <v>5</v>
      </c>
      <c r="D126" s="127" t="str">
        <f t="shared" si="23"/>
        <v xml:space="preserve"> 25 min</v>
      </c>
      <c r="E126" s="171" t="s">
        <v>89</v>
      </c>
      <c r="F126" s="241" t="s">
        <v>101</v>
      </c>
      <c r="G126" s="242"/>
      <c r="H126" s="152"/>
    </row>
    <row r="127" spans="2:8" s="43" customFormat="1" ht="15" thickBot="1" x14ac:dyDescent="0.35">
      <c r="B127" s="135" t="s">
        <v>68</v>
      </c>
      <c r="C127" s="66">
        <f>SUM(C122:C126)</f>
        <v>48</v>
      </c>
      <c r="D127" s="135" t="str">
        <f xml:space="preserve"> setValueToTime(C127)</f>
        <v>4h</v>
      </c>
      <c r="E127" s="96"/>
      <c r="F127" s="243"/>
      <c r="G127" s="244"/>
      <c r="H127" s="152"/>
    </row>
    <row r="128" spans="2:8" s="43" customFormat="1" x14ac:dyDescent="0.3">
      <c r="B128" s="60"/>
      <c r="C128" s="60"/>
      <c r="D128" s="60"/>
      <c r="E128" s="60"/>
      <c r="F128" s="60"/>
      <c r="G128" s="60"/>
      <c r="H128" s="152"/>
    </row>
  </sheetData>
  <sheetProtection formatRows="0" insertRows="0" insertHyperlinks="0" deleteRows="0" selectLockedCells="1"/>
  <mergeCells count="101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74:G74"/>
    <mergeCell ref="F70:G70"/>
    <mergeCell ref="F71:G71"/>
    <mergeCell ref="F72:G72"/>
    <mergeCell ref="F73:G73"/>
    <mergeCell ref="F91:G91"/>
    <mergeCell ref="F92:G92"/>
    <mergeCell ref="F93:G93"/>
    <mergeCell ref="F94:G94"/>
    <mergeCell ref="F86:G86"/>
    <mergeCell ref="F87:G87"/>
    <mergeCell ref="F88:G88"/>
    <mergeCell ref="F89:G89"/>
    <mergeCell ref="F90:G90"/>
    <mergeCell ref="F127:G127"/>
    <mergeCell ref="F121:G121"/>
    <mergeCell ref="F122:G122"/>
    <mergeCell ref="F123:G123"/>
    <mergeCell ref="F124:G124"/>
    <mergeCell ref="F125:G125"/>
    <mergeCell ref="F126:G126"/>
    <mergeCell ref="F116:G116"/>
    <mergeCell ref="F117:G117"/>
    <mergeCell ref="F118:G118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7:G97"/>
    <mergeCell ref="F98:G98"/>
    <mergeCell ref="F99:G99"/>
    <mergeCell ref="F100:G100"/>
    <mergeCell ref="F101:G101"/>
    <mergeCell ref="F54:G54"/>
    <mergeCell ref="F55:G55"/>
    <mergeCell ref="F82:G82"/>
    <mergeCell ref="F83:G83"/>
    <mergeCell ref="F61:G61"/>
    <mergeCell ref="F62:G62"/>
    <mergeCell ref="F63:G63"/>
    <mergeCell ref="F64:G64"/>
    <mergeCell ref="F65:G65"/>
    <mergeCell ref="F66:G66"/>
    <mergeCell ref="F67:G67"/>
    <mergeCell ref="F77:G77"/>
    <mergeCell ref="F78:G78"/>
    <mergeCell ref="F79:G79"/>
    <mergeCell ref="F80:G80"/>
    <mergeCell ref="F81:G81"/>
    <mergeCell ref="F56:G56"/>
    <mergeCell ref="F57:G57"/>
    <mergeCell ref="F58:G5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</mergeCells>
  <phoneticPr fontId="0" type="noConversion"/>
  <conditionalFormatting sqref="C127">
    <cfRule type="cellIs" dxfId="14" priority="13" operator="greaterThan">
      <formula>60</formula>
    </cfRule>
  </conditionalFormatting>
  <conditionalFormatting sqref="C118">
    <cfRule type="cellIs" dxfId="13" priority="12" operator="greaterThan">
      <formula>60</formula>
    </cfRule>
  </conditionalFormatting>
  <conditionalFormatting sqref="C108">
    <cfRule type="cellIs" dxfId="12" priority="11" operator="greaterThan">
      <formula>60</formula>
    </cfRule>
  </conditionalFormatting>
  <conditionalFormatting sqref="C101">
    <cfRule type="cellIs" dxfId="11" priority="10" operator="greaterThan">
      <formula>60</formula>
    </cfRule>
  </conditionalFormatting>
  <conditionalFormatting sqref="C94">
    <cfRule type="cellIs" dxfId="10" priority="9" operator="greaterThan">
      <formula>60</formula>
    </cfRule>
  </conditionalFormatting>
  <conditionalFormatting sqref="C83">
    <cfRule type="cellIs" dxfId="9" priority="8" operator="greaterThan">
      <formula>60</formula>
    </cfRule>
  </conditionalFormatting>
  <conditionalFormatting sqref="C74">
    <cfRule type="cellIs" dxfId="8" priority="7" operator="greaterThan">
      <formula>60</formula>
    </cfRule>
  </conditionalFormatting>
  <conditionalFormatting sqref="C67">
    <cfRule type="cellIs" dxfId="7" priority="6" operator="greaterThan">
      <formula>60</formula>
    </cfRule>
  </conditionalFormatting>
  <conditionalFormatting sqref="C58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22:C126 C112:C117 C105:C107 C98:C100 C87:C93 C78:C82 C71:C73 C62:C66 C52:C57 C40:C47 C28:C35 C4:C11 C16:C23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7 C118 C108 C101 C94 C83 C74 C67 C58 C48 C36 C24 C12" xr:uid="{362A2729-E50A-43BF-8794-39FBF091B966}">
      <formula1>0</formula1>
      <formula2>60</formula2>
    </dataValidation>
  </dataValidations>
  <hyperlinks>
    <hyperlink ref="F112" r:id="rId1" xr:uid="{12887341-368F-4919-8FF9-77CD3FB517D9}"/>
    <hyperlink ref="F126" r:id="rId2" xr:uid="{F9855F73-5C98-4E18-B6D1-3AC6E283E362}"/>
    <hyperlink ref="F105" r:id="rId3" xr:uid="{2F0D0CFB-1110-414D-9A0B-B67BEFB9434D}"/>
    <hyperlink ref="F98" r:id="rId4" xr:uid="{CAD0D519-DD64-4838-9671-1C468CDA9C32}"/>
    <hyperlink ref="F100" r:id="rId5" xr:uid="{16261777-5B34-4725-90FA-DD39F3C8C7CE}"/>
    <hyperlink ref="F99" r:id="rId6" xr:uid="{902FC26C-0B51-4DE2-9894-E7AC98620F63}"/>
    <hyperlink ref="F89" r:id="rId7" xr:uid="{95AE8E8A-15F3-4EA5-BA74-A3991703D63F}"/>
    <hyperlink ref="F88" r:id="rId8" xr:uid="{EEAC2FB7-7C73-490B-B621-7034064F6A8D}"/>
    <hyperlink ref="F93" r:id="rId9" xr:uid="{B2EE3D3D-8C10-48E0-A965-BDE9BB681B6E}"/>
    <hyperlink ref="F90" r:id="rId10" xr:uid="{D0CF9172-5DCE-405A-BADE-A28BC12613E4}"/>
    <hyperlink ref="F91" r:id="rId11" xr:uid="{1FF17422-17CA-44FF-AA4D-19147B516303}"/>
    <hyperlink ref="F78" r:id="rId12" xr:uid="{F5666A2C-9345-4681-A4AE-6CDEFD451EF0}"/>
    <hyperlink ref="F81" r:id="rId13" xr:uid="{0A38ED83-43A6-40AA-B3D2-1A5FCDBA47F7}"/>
    <hyperlink ref="F82" r:id="rId14" xr:uid="{FDF0B071-ED1E-4865-85C8-D0B3B100B631}"/>
    <hyperlink ref="F55" r:id="rId15" xr:uid="{7BF07213-1DAA-4BE8-9820-2E4AED94E6F9}"/>
    <hyperlink ref="F64" r:id="rId16" xr:uid="{B835A83F-4BE3-4EDD-8666-E1E2CE223E31}"/>
    <hyperlink ref="F57" r:id="rId17" xr:uid="{FE2562AE-16BB-4BA0-9C76-EE3D5D97C444}"/>
    <hyperlink ref="F63" r:id="rId18" xr:uid="{E00BA919-86C4-43D3-9AA0-45A14A86493D}"/>
    <hyperlink ref="F43" r:id="rId19" xr:uid="{BD1E45F5-95AB-4A96-A96B-A23A6319B3DD}"/>
    <hyperlink ref="F42" r:id="rId20" xr:uid="{11A98000-C909-4F25-A9E1-F0484B123E68}"/>
  </hyperlinks>
  <printOptions horizontalCentered="1" verticalCentered="1"/>
  <pageMargins left="0.25" right="0.25" top="0.75" bottom="0.75" header="0.3" footer="0.3"/>
  <pageSetup paperSize="9" fitToHeight="0" orientation="landscape" r:id="rId2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2"/>
  <legacyDrawing r:id="rId23"/>
  <controls>
    <mc:AlternateContent xmlns:mc="http://schemas.openxmlformats.org/markup-compatibility/2006">
      <mc:Choice Requires="x14">
        <control shapeId="9224" r:id="rId24" name="btnRapatriementJournal">
          <controlPr defaultSize="0" autoLine="0" r:id="rId2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4" name="btnRapatriementJournal"/>
      </mc:Fallback>
    </mc:AlternateContent>
    <mc:AlternateContent xmlns:mc="http://schemas.openxmlformats.org/markup-compatibility/2006">
      <mc:Choice Requires="x14">
        <control shapeId="9220" r:id="rId26" name="btnAjoutSeqJournal">
          <controlPr defaultSize="0" autoLine="0" r:id="rId2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B122:B126 B112:B117 B105:B107 B98:B100 B79:B82 B72 B64:B66 B52:B57 B41:B47 B28:B35 B4:B11 B17:B23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5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73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73"/>
    </row>
    <row r="12" spans="1:61" ht="18.75" thickBo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73"/>
    </row>
    <row r="13" spans="1:61" ht="18.75" thickBot="1" x14ac:dyDescent="0.3">
      <c r="A13" s="202" t="s">
        <v>61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73"/>
    </row>
    <row r="14" spans="1:61" ht="15.75" thickBot="1" x14ac:dyDescent="0.35">
      <c r="A14" s="81"/>
      <c r="B14" s="82"/>
      <c r="C14" s="82"/>
      <c r="D14" s="82"/>
      <c r="E14" s="201" t="s">
        <v>44</v>
      </c>
      <c r="F14" s="201"/>
      <c r="G14" s="201"/>
      <c r="H14" s="201"/>
      <c r="I14" s="82"/>
      <c r="J14" s="82"/>
      <c r="K14" s="199" t="s">
        <v>45</v>
      </c>
      <c r="L14" s="199"/>
      <c r="M14" s="199"/>
      <c r="N14" s="199"/>
      <c r="O14" s="102"/>
      <c r="P14" s="102"/>
      <c r="Q14" s="201" t="s">
        <v>46</v>
      </c>
      <c r="R14" s="201"/>
      <c r="S14" s="201"/>
      <c r="T14" s="201"/>
      <c r="U14" s="82"/>
      <c r="V14" s="82"/>
      <c r="W14" s="199" t="s">
        <v>47</v>
      </c>
      <c r="X14" s="199"/>
      <c r="Y14" s="199"/>
      <c r="Z14" s="199"/>
      <c r="AA14" s="102"/>
      <c r="AB14" s="102"/>
      <c r="AC14" s="201" t="s">
        <v>48</v>
      </c>
      <c r="AD14" s="201"/>
      <c r="AE14" s="201"/>
      <c r="AF14" s="201"/>
      <c r="AG14" s="82"/>
      <c r="AH14" s="82"/>
      <c r="AI14" s="199" t="s">
        <v>49</v>
      </c>
      <c r="AJ14" s="199"/>
      <c r="AK14" s="199"/>
      <c r="AL14" s="199"/>
      <c r="AM14" s="102"/>
      <c r="AN14" s="102"/>
      <c r="AO14" s="201" t="s">
        <v>50</v>
      </c>
      <c r="AP14" s="201"/>
      <c r="AQ14" s="201"/>
      <c r="AR14" s="201"/>
      <c r="AS14" s="82"/>
      <c r="AT14" s="82"/>
      <c r="AU14" s="199" t="s">
        <v>51</v>
      </c>
      <c r="AV14" s="199"/>
      <c r="AW14" s="199"/>
      <c r="AX14" s="199"/>
      <c r="AY14" s="102"/>
      <c r="AZ14" s="102"/>
      <c r="BA14" s="201" t="s">
        <v>52</v>
      </c>
      <c r="BB14" s="201"/>
      <c r="BC14" s="201"/>
      <c r="BD14" s="20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5" t="s">
        <v>66</v>
      </c>
      <c r="G2" s="24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3"/>
      <c r="G11" s="24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2025-05-09T14:13:55Z</cp:lastPrinted>
  <dcterms:created xsi:type="dcterms:W3CDTF">1996-10-21T11:03:58Z</dcterms:created>
  <dcterms:modified xsi:type="dcterms:W3CDTF">2025-05-14T11:13:29Z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